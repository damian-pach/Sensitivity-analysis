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CV\Do CV\_Gotowe\Sensitivity Analysis\"/>
    </mc:Choice>
  </mc:AlternateContent>
  <xr:revisionPtr revIDLastSave="0" documentId="13_ncr:1_{0A2E580F-9293-4FF4-B1D4-248A459F34E2}" xr6:coauthVersionLast="46" xr6:coauthVersionMax="46" xr10:uidLastSave="{00000000-0000-0000-0000-000000000000}"/>
  <bookViews>
    <workbookView xWindow="28680" yWindow="915" windowWidth="29040" windowHeight="15840" activeTab="2" xr2:uid="{00000000-000D-0000-FFFF-FFFF00000000}"/>
  </bookViews>
  <sheets>
    <sheet name="Data" sheetId="1" r:id="rId1"/>
    <sheet name="Economy" sheetId="3" r:id="rId2"/>
    <sheet name="Sensitivity Analysis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" i="1" l="1"/>
  <c r="C5" i="3"/>
  <c r="C14" i="3"/>
  <c r="C4" i="3"/>
  <c r="D4" i="3" s="1"/>
  <c r="E4" i="3" s="1"/>
  <c r="F4" i="3" s="1"/>
  <c r="G4" i="3" s="1"/>
  <c r="H4" i="3" s="1"/>
  <c r="I4" i="3" s="1"/>
  <c r="J4" i="3" s="1"/>
  <c r="K4" i="3" s="1"/>
  <c r="L4" i="3" s="1"/>
  <c r="M4" i="3" s="1"/>
  <c r="N4" i="3" s="1"/>
  <c r="O4" i="3" s="1"/>
  <c r="P4" i="3" s="1"/>
  <c r="Q4" i="3" s="1"/>
  <c r="R4" i="3" s="1"/>
  <c r="S4" i="3" s="1"/>
  <c r="T4" i="3" s="1"/>
  <c r="U4" i="3" s="1"/>
  <c r="V4" i="3" s="1"/>
  <c r="W4" i="3" s="1"/>
  <c r="D2" i="3"/>
  <c r="E2" i="3" s="1"/>
  <c r="F2" i="3" s="1"/>
  <c r="G2" i="3" s="1"/>
  <c r="H2" i="3" s="1"/>
  <c r="I2" i="3" s="1"/>
  <c r="J2" i="3" s="1"/>
  <c r="K2" i="3" s="1"/>
  <c r="L2" i="3" s="1"/>
  <c r="M2" i="3" s="1"/>
  <c r="N2" i="3" s="1"/>
  <c r="O2" i="3" s="1"/>
  <c r="P2" i="3" s="1"/>
  <c r="Q2" i="3" s="1"/>
  <c r="R2" i="3" s="1"/>
  <c r="S2" i="3" s="1"/>
  <c r="T2" i="3" s="1"/>
  <c r="U2" i="3" s="1"/>
  <c r="V2" i="3" s="1"/>
  <c r="W2" i="3" s="1"/>
  <c r="B11" i="1"/>
  <c r="G5" i="1"/>
  <c r="C13" i="1" l="1"/>
  <c r="D13" i="1" s="1"/>
  <c r="E13" i="1" s="1"/>
  <c r="F13" i="1" s="1"/>
  <c r="G13" i="1" s="1"/>
  <c r="H13" i="1" s="1"/>
  <c r="I13" i="1" s="1"/>
  <c r="J13" i="1" s="1"/>
  <c r="K13" i="1" s="1"/>
  <c r="L13" i="1" s="1"/>
  <c r="M13" i="1" s="1"/>
  <c r="N13" i="1" s="1"/>
  <c r="O13" i="1" s="1"/>
  <c r="P13" i="1" s="1"/>
  <c r="Q13" i="1" s="1"/>
  <c r="R13" i="1" s="1"/>
  <c r="S13" i="1" s="1"/>
  <c r="T13" i="1" s="1"/>
  <c r="U13" i="1" s="1"/>
  <c r="V13" i="1" s="1"/>
  <c r="W13" i="1" s="1"/>
  <c r="W3" i="3" s="1"/>
  <c r="W12" i="3" s="1"/>
  <c r="B6" i="1"/>
  <c r="D13" i="3"/>
  <c r="C6" i="3" l="1"/>
  <c r="A6" i="3"/>
  <c r="C3" i="3"/>
  <c r="E3" i="3"/>
  <c r="E12" i="3" s="1"/>
  <c r="L3" i="3"/>
  <c r="L12" i="3" s="1"/>
  <c r="D3" i="3"/>
  <c r="D12" i="3" s="1"/>
  <c r="D14" i="3" s="1"/>
  <c r="J3" i="3"/>
  <c r="J12" i="3" s="1"/>
  <c r="I3" i="3"/>
  <c r="I12" i="3" s="1"/>
  <c r="S3" i="3"/>
  <c r="S12" i="3" s="1"/>
  <c r="T3" i="3"/>
  <c r="T12" i="3" s="1"/>
  <c r="V3" i="3"/>
  <c r="V12" i="3" s="1"/>
  <c r="N3" i="3"/>
  <c r="N12" i="3" s="1"/>
  <c r="F3" i="3"/>
  <c r="F12" i="3" s="1"/>
  <c r="Q3" i="3"/>
  <c r="Q12" i="3" s="1"/>
  <c r="O3" i="3"/>
  <c r="O12" i="3" s="1"/>
  <c r="K3" i="3"/>
  <c r="K12" i="3" s="1"/>
  <c r="U3" i="3"/>
  <c r="U12" i="3" s="1"/>
  <c r="P3" i="3"/>
  <c r="P12" i="3" s="1"/>
  <c r="M3" i="3"/>
  <c r="M12" i="3" s="1"/>
  <c r="G3" i="3"/>
  <c r="G12" i="3" s="1"/>
  <c r="H3" i="3"/>
  <c r="H12" i="3" s="1"/>
  <c r="R3" i="3"/>
  <c r="R12" i="3" s="1"/>
  <c r="B7" i="1"/>
  <c r="E13" i="3"/>
  <c r="A7" i="3" l="1"/>
  <c r="C7" i="3"/>
  <c r="C9" i="3" s="1"/>
  <c r="E14" i="3"/>
  <c r="F13" i="3"/>
  <c r="C15" i="3" l="1"/>
  <c r="D8" i="3"/>
  <c r="F14" i="3"/>
  <c r="G13" i="3"/>
  <c r="E8" i="3" l="1"/>
  <c r="F8" i="3" s="1"/>
  <c r="F15" i="3" s="1"/>
  <c r="F16" i="3" s="1"/>
  <c r="C16" i="3"/>
  <c r="C17" i="3" s="1"/>
  <c r="C22" i="3"/>
  <c r="D15" i="3"/>
  <c r="D16" i="3" s="1"/>
  <c r="D9" i="3"/>
  <c r="G14" i="3"/>
  <c r="H13" i="3"/>
  <c r="D22" i="3" l="1"/>
  <c r="D23" i="3" s="1"/>
  <c r="G8" i="3"/>
  <c r="G15" i="3" s="1"/>
  <c r="G16" i="3" s="1"/>
  <c r="E15" i="3"/>
  <c r="E9" i="3"/>
  <c r="F9" i="3" s="1"/>
  <c r="D17" i="3"/>
  <c r="H14" i="3"/>
  <c r="I13" i="3"/>
  <c r="I14" i="3" s="1"/>
  <c r="H8" i="3" l="1"/>
  <c r="I8" i="3" s="1"/>
  <c r="I15" i="3" s="1"/>
  <c r="I16" i="3" s="1"/>
  <c r="G9" i="3"/>
  <c r="G22" i="3"/>
  <c r="E16" i="3"/>
  <c r="E22" i="3"/>
  <c r="F22" i="3"/>
  <c r="D20" i="3"/>
  <c r="J13" i="3"/>
  <c r="J14" i="3" s="1"/>
  <c r="H15" i="3" l="1"/>
  <c r="H16" i="3" s="1"/>
  <c r="H17" i="3" s="1"/>
  <c r="J8" i="3"/>
  <c r="K8" i="3" s="1"/>
  <c r="L8" i="3" s="1"/>
  <c r="M8" i="3" s="1"/>
  <c r="G23" i="3"/>
  <c r="H9" i="3"/>
  <c r="I9" i="3" s="1"/>
  <c r="G17" i="3"/>
  <c r="F17" i="3"/>
  <c r="E17" i="3"/>
  <c r="F23" i="3"/>
  <c r="E23" i="3"/>
  <c r="K13" i="3"/>
  <c r="K14" i="3" s="1"/>
  <c r="J15" i="3" l="1"/>
  <c r="J16" i="3" s="1"/>
  <c r="J17" i="3" s="1"/>
  <c r="H22" i="3"/>
  <c r="H23" i="3" s="1"/>
  <c r="I22" i="3"/>
  <c r="J9" i="3"/>
  <c r="K9" i="3" s="1"/>
  <c r="L9" i="3" s="1"/>
  <c r="M9" i="3" s="1"/>
  <c r="H20" i="3"/>
  <c r="G20" i="3"/>
  <c r="E20" i="3"/>
  <c r="F20" i="3"/>
  <c r="N8" i="3"/>
  <c r="O8" i="3" s="1"/>
  <c r="L13" i="3"/>
  <c r="L14" i="3" s="1"/>
  <c r="K15" i="3"/>
  <c r="K16" i="3" s="1"/>
  <c r="I17" i="3"/>
  <c r="J22" i="3" l="1"/>
  <c r="J23" i="3" s="1"/>
  <c r="I23" i="3"/>
  <c r="N9" i="3"/>
  <c r="O9" i="3" s="1"/>
  <c r="P8" i="3"/>
  <c r="Q8" i="3" s="1"/>
  <c r="R8" i="3" s="1"/>
  <c r="S8" i="3" s="1"/>
  <c r="T8" i="3" s="1"/>
  <c r="U8" i="3" s="1"/>
  <c r="V8" i="3" s="1"/>
  <c r="W8" i="3" s="1"/>
  <c r="J20" i="3"/>
  <c r="I20" i="3"/>
  <c r="L15" i="3"/>
  <c r="L16" i="3" s="1"/>
  <c r="M13" i="3"/>
  <c r="M14" i="3" s="1"/>
  <c r="K22" i="3"/>
  <c r="K23" i="3" l="1"/>
  <c r="P9" i="3"/>
  <c r="Q9" i="3" s="1"/>
  <c r="R9" i="3" s="1"/>
  <c r="S9" i="3" s="1"/>
  <c r="T9" i="3" s="1"/>
  <c r="U9" i="3" s="1"/>
  <c r="V9" i="3" s="1"/>
  <c r="W9" i="3" s="1"/>
  <c r="L17" i="3"/>
  <c r="L22" i="3"/>
  <c r="L23" i="3" s="1"/>
  <c r="N13" i="3"/>
  <c r="N14" i="3" s="1"/>
  <c r="M15" i="3"/>
  <c r="M16" i="3" s="1"/>
  <c r="K17" i="3"/>
  <c r="M22" i="3" l="1"/>
  <c r="N15" i="3"/>
  <c r="N16" i="3" s="1"/>
  <c r="O13" i="3"/>
  <c r="O14" i="3" s="1"/>
  <c r="L20" i="3"/>
  <c r="K20" i="3"/>
  <c r="N17" i="3" l="1"/>
  <c r="N22" i="3"/>
  <c r="N23" i="3" s="1"/>
  <c r="O15" i="3"/>
  <c r="O16" i="3" s="1"/>
  <c r="P13" i="3"/>
  <c r="P14" i="3" s="1"/>
  <c r="M23" i="3"/>
  <c r="M17" i="3"/>
  <c r="O17" i="3" l="1"/>
  <c r="O20" i="3" s="1"/>
  <c r="O22" i="3"/>
  <c r="P15" i="3"/>
  <c r="P16" i="3" s="1"/>
  <c r="Q13" i="3"/>
  <c r="Q14" i="3" s="1"/>
  <c r="N20" i="3"/>
  <c r="M20" i="3"/>
  <c r="P17" i="3" l="1"/>
  <c r="P20" i="3" s="1"/>
  <c r="P22" i="3"/>
  <c r="P23" i="3" s="1"/>
  <c r="R13" i="3"/>
  <c r="R14" i="3" s="1"/>
  <c r="Q15" i="3"/>
  <c r="Q16" i="3" s="1"/>
  <c r="O23" i="3"/>
  <c r="Q17" i="3" l="1"/>
  <c r="Q20" i="3" s="1"/>
  <c r="Q22" i="3"/>
  <c r="Q23" i="3" s="1"/>
  <c r="S13" i="3"/>
  <c r="S14" i="3" s="1"/>
  <c r="R15" i="3"/>
  <c r="R16" i="3" s="1"/>
  <c r="R17" i="3" l="1"/>
  <c r="R20" i="3" s="1"/>
  <c r="R22" i="3"/>
  <c r="R23" i="3" s="1"/>
  <c r="S15" i="3"/>
  <c r="S16" i="3" s="1"/>
  <c r="T13" i="3"/>
  <c r="T14" i="3" s="1"/>
  <c r="S17" i="3" l="1"/>
  <c r="S20" i="3" s="1"/>
  <c r="S22" i="3"/>
  <c r="S23" i="3" s="1"/>
  <c r="U13" i="3"/>
  <c r="U14" i="3" s="1"/>
  <c r="T15" i="3"/>
  <c r="T16" i="3" s="1"/>
  <c r="T17" i="3" l="1"/>
  <c r="T20" i="3" s="1"/>
  <c r="T22" i="3"/>
  <c r="T23" i="3" s="1"/>
  <c r="W13" i="3"/>
  <c r="W14" i="3" s="1"/>
  <c r="V13" i="3"/>
  <c r="V14" i="3" s="1"/>
  <c r="U15" i="3"/>
  <c r="U16" i="3" s="1"/>
  <c r="U17" i="3" l="1"/>
  <c r="U20" i="3" s="1"/>
  <c r="U22" i="3"/>
  <c r="U23" i="3" s="1"/>
  <c r="V15" i="3"/>
  <c r="V16" i="3" s="1"/>
  <c r="W15" i="3"/>
  <c r="W16" i="3" s="1"/>
  <c r="V17" i="3" l="1"/>
  <c r="V20" i="3" s="1"/>
  <c r="V22" i="3"/>
  <c r="V23" i="3" s="1"/>
  <c r="W22" i="3"/>
  <c r="C19" i="3"/>
  <c r="B19" i="1" s="1"/>
  <c r="W17" i="3" l="1"/>
  <c r="C18" i="3" s="1"/>
  <c r="W23" i="3"/>
  <c r="C24" i="3" s="1"/>
  <c r="B22" i="1" s="1"/>
  <c r="C25" i="3" l="1"/>
  <c r="B20" i="1" s="1"/>
  <c r="B18" i="1"/>
  <c r="W20" i="3"/>
  <c r="C21" i="3" s="1"/>
  <c r="B21" i="1" s="1"/>
</calcChain>
</file>

<file path=xl/sharedStrings.xml><?xml version="1.0" encoding="utf-8"?>
<sst xmlns="http://schemas.openxmlformats.org/spreadsheetml/2006/main" count="96" uniqueCount="57">
  <si>
    <t>Sensitivity analysis variables</t>
  </si>
  <si>
    <t>PLN</t>
  </si>
  <si>
    <t>-</t>
  </si>
  <si>
    <t>PLN/GJ</t>
  </si>
  <si>
    <t>PLN/MWh</t>
  </si>
  <si>
    <t>FCFE</t>
  </si>
  <si>
    <t>NPV</t>
  </si>
  <si>
    <t>IRR</t>
  </si>
  <si>
    <t>%</t>
  </si>
  <si>
    <t>NPVR</t>
  </si>
  <si>
    <t>DPB</t>
  </si>
  <si>
    <t>SPB</t>
  </si>
  <si>
    <t>Input variables</t>
  </si>
  <si>
    <t>CAPEX</t>
  </si>
  <si>
    <t>Borrowed capital</t>
  </si>
  <si>
    <t>Inflation</t>
  </si>
  <si>
    <t>Own capital cost</t>
  </si>
  <si>
    <t>Own capital share</t>
  </si>
  <si>
    <t>Borrowed capital share</t>
  </si>
  <si>
    <t>Depreciation rate</t>
  </si>
  <si>
    <t>Income tax rate</t>
  </si>
  <si>
    <t>Discount rate</t>
  </si>
  <si>
    <t>Value</t>
  </si>
  <si>
    <t>Price forecast for heat purchase from DH provider</t>
  </si>
  <si>
    <t>Heat gain from modernization</t>
  </si>
  <si>
    <t>Maintenance and renovation costs</t>
  </si>
  <si>
    <t>MWh/yr</t>
  </si>
  <si>
    <t>PLN/yr</t>
  </si>
  <si>
    <t>Average heat cost</t>
  </si>
  <si>
    <t>Economic analysis results</t>
  </si>
  <si>
    <t>Unit</t>
  </si>
  <si>
    <t>years</t>
  </si>
  <si>
    <t>Average heat cost – coal technologies</t>
  </si>
  <si>
    <t>Capital expenditures</t>
  </si>
  <si>
    <t>Heat purchase reduction (profit)</t>
  </si>
  <si>
    <t>Debt repayment time</t>
  </si>
  <si>
    <t>Loan installments</t>
  </si>
  <si>
    <t>Remaining borrowed capital</t>
  </si>
  <si>
    <t>Interest repayment</t>
  </si>
  <si>
    <t xml:space="preserve">Depreciation write-offs </t>
  </si>
  <si>
    <t>Revenue</t>
  </si>
  <si>
    <t>Expenses</t>
  </si>
  <si>
    <t>Income tax</t>
  </si>
  <si>
    <t>Net cash flow</t>
  </si>
  <si>
    <t>Discounted cash flow</t>
  </si>
  <si>
    <t>Helper cells for DPB</t>
  </si>
  <si>
    <t>Helper cells for SPB</t>
  </si>
  <si>
    <t>FCFE Analysis</t>
  </si>
  <si>
    <t>Year of investment</t>
  </si>
  <si>
    <t>Economy</t>
  </si>
  <si>
    <t>$C$18</t>
  </si>
  <si>
    <t>Heat cost</t>
  </si>
  <si>
    <t>Inflation value</t>
  </si>
  <si>
    <t>CAPEX#$B$2#Data@Heat cost#$G$6#Data@Inflation value#$B$4#Data@Borrowed capital amount#$B$3#Data@</t>
  </si>
  <si>
    <t>Borrowed capital amount</t>
  </si>
  <si>
    <t>Year</t>
  </si>
  <si>
    <t>Years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</si>
</sst>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_(* #,##0.00_);_(* \(#,##0.00\);_(* &quot;-&quot;??_);_(@_)"/>
    <numFmt numFmtId="165" formatCode="0.0"/>
    <numFmt numFmtId="166" formatCode="0.000"/>
    <numFmt numFmtId="167" formatCode="_-* #,##0\ _z_ł_-;\-* #,##0\ _z_ł_-;_-* &quot;-&quot;??\ _z_ł_-;_-@_-"/>
    <numFmt numFmtId="168" formatCode="#,##0.00\ _z_ł"/>
    <numFmt numFmtId="169" formatCode="_-* #,##0\ _z_³_-;\-* #,##0\ _z_³_-;_-* &quot;-&quot;??\ _z_³_-;_-@_-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11"/>
      <color theme="0"/>
      <name val="Calibri"/>
      <family val="2"/>
      <scheme val="minor"/>
    </font>
    <font>
      <sz val="1"/>
      <color theme="0"/>
      <name val="Calibri"/>
      <family val="2"/>
      <scheme val="minor"/>
    </font>
    <font>
      <sz val="14"/>
      <color rgb="FF000000"/>
      <name val="Calibri"/>
      <family val="2"/>
    </font>
    <font>
      <sz val="11"/>
      <color rgb="FF3F3F76"/>
      <name val="Calibri"/>
      <family val="2"/>
      <charset val="238"/>
      <scheme val="minor"/>
    </font>
    <font>
      <u/>
      <sz val="11"/>
      <color theme="10"/>
      <name val="Calibri"/>
      <family val="2"/>
      <scheme val="minor"/>
    </font>
    <font>
      <b/>
      <sz val="14"/>
      <name val="Calibri"/>
      <family val="2"/>
      <charset val="238"/>
      <scheme val="minor"/>
    </font>
    <font>
      <sz val="12"/>
      <name val="Arial"/>
      <family val="2"/>
      <charset val="238"/>
    </font>
    <font>
      <sz val="11"/>
      <color indexed="8"/>
      <name val="Calibri"/>
      <family val="2"/>
      <charset val="238"/>
    </font>
    <font>
      <sz val="14"/>
      <name val="Arial"/>
      <family val="2"/>
      <charset val="238"/>
    </font>
    <font>
      <sz val="14"/>
      <color indexed="8"/>
      <name val="Arial"/>
      <family val="2"/>
      <charset val="238"/>
    </font>
    <font>
      <sz val="10"/>
      <color theme="0" tint="-0.34998626667073579"/>
      <name val="Arial"/>
      <family val="2"/>
      <charset val="238"/>
    </font>
    <font>
      <sz val="14"/>
      <name val="Calibri Light"/>
      <family val="2"/>
      <charset val="238"/>
      <scheme val="major"/>
    </font>
    <font>
      <b/>
      <sz val="11"/>
      <name val="Calibri"/>
      <family val="2"/>
      <charset val="238"/>
    </font>
    <font>
      <sz val="11"/>
      <name val="Calibri"/>
      <family val="2"/>
      <charset val="238"/>
    </font>
    <font>
      <b/>
      <sz val="11"/>
      <color indexed="8"/>
      <name val="Calibri"/>
      <family val="2"/>
      <charset val="238"/>
    </font>
    <font>
      <b/>
      <sz val="11"/>
      <color rgb="FFFF0000"/>
      <name val="Calibri"/>
      <family val="2"/>
      <charset val="238"/>
    </font>
    <font>
      <u/>
      <sz val="12"/>
      <color theme="10"/>
      <name val="Arial"/>
      <family val="2"/>
      <charset val="238"/>
    </font>
    <font>
      <sz val="13"/>
      <name val="Arial"/>
      <family val="2"/>
      <charset val="238"/>
    </font>
    <font>
      <b/>
      <sz val="14"/>
      <color indexed="8"/>
      <name val="Calibri"/>
      <family val="2"/>
      <charset val="238"/>
      <scheme val="minor"/>
    </font>
    <font>
      <b/>
      <sz val="14"/>
      <name val="Calibri Light"/>
      <family val="2"/>
      <charset val="238"/>
      <scheme val="major"/>
    </font>
    <font>
      <b/>
      <sz val="11"/>
      <color rgb="FFC00000"/>
      <name val="Calibri"/>
      <family val="2"/>
      <charset val="238"/>
    </font>
    <font>
      <sz val="14"/>
      <color indexed="8"/>
      <name val="Calibri"/>
      <family val="2"/>
      <charset val="238"/>
    </font>
    <font>
      <sz val="14"/>
      <color rgb="FF3F3F76"/>
      <name val="Calibri"/>
      <family val="2"/>
      <charset val="238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FFCC9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3DAE3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3" tint="0.39994506668294322"/>
      </left>
      <right style="thin">
        <color theme="3" tint="0.39994506668294322"/>
      </right>
      <top style="thin">
        <color theme="3" tint="0.39994506668294322"/>
      </top>
      <bottom style="thin">
        <color theme="3" tint="0.399945066682943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6" fillId="3" borderId="3" applyNumberFormat="0" applyAlignment="0" applyProtection="0"/>
    <xf numFmtId="0" fontId="7" fillId="0" borderId="0" applyNumberFormat="0" applyFill="0" applyBorder="0" applyAlignment="0" applyProtection="0"/>
    <xf numFmtId="0" fontId="10" fillId="0" borderId="0"/>
  </cellStyleXfs>
  <cellXfs count="98">
    <xf numFmtId="0" fontId="0" fillId="0" borderId="0" xfId="0"/>
    <xf numFmtId="0" fontId="3" fillId="0" borderId="0" xfId="0" applyFont="1"/>
    <xf numFmtId="0" fontId="4" fillId="0" borderId="0" xfId="0" applyFont="1"/>
    <xf numFmtId="0" fontId="8" fillId="4" borderId="1" xfId="0" applyFont="1" applyFill="1" applyBorder="1" applyAlignment="1">
      <alignment horizontal="center" vertical="center"/>
    </xf>
    <xf numFmtId="0" fontId="9" fillId="0" borderId="0" xfId="4" applyFont="1" applyFill="1" applyBorder="1" applyAlignment="1" applyProtection="1">
      <alignment horizontal="left" vertical="center"/>
    </xf>
    <xf numFmtId="0" fontId="10" fillId="0" borderId="0" xfId="5" applyAlignment="1">
      <alignment horizontal="center" vertical="center"/>
    </xf>
    <xf numFmtId="0" fontId="11" fillId="0" borderId="0" xfId="0" applyFont="1" applyAlignment="1">
      <alignment vertical="center"/>
    </xf>
    <xf numFmtId="0" fontId="12" fillId="0" borderId="0" xfId="5" applyFont="1" applyAlignment="1">
      <alignment vertical="center"/>
    </xf>
    <xf numFmtId="1" fontId="13" fillId="0" borderId="0" xfId="0" applyNumberFormat="1" applyFont="1" applyAlignment="1">
      <alignment horizontal="center" vertical="center"/>
    </xf>
    <xf numFmtId="0" fontId="14" fillId="5" borderId="1" xfId="0" applyFont="1" applyFill="1" applyBorder="1" applyAlignment="1">
      <alignment horizontal="left" vertical="center"/>
    </xf>
    <xf numFmtId="0" fontId="14" fillId="5" borderId="1" xfId="0" applyFont="1" applyFill="1" applyBorder="1" applyAlignment="1">
      <alignment horizontal="center" vertical="center"/>
    </xf>
    <xf numFmtId="3" fontId="12" fillId="0" borderId="0" xfId="5" applyNumberFormat="1" applyFont="1" applyAlignment="1">
      <alignment vertical="center"/>
    </xf>
    <xf numFmtId="3" fontId="12" fillId="0" borderId="0" xfId="5" applyNumberFormat="1" applyFont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0" fontId="14" fillId="5" borderId="1" xfId="1" applyNumberFormat="1" applyFont="1" applyFill="1" applyBorder="1" applyAlignment="1">
      <alignment horizontal="center" vertical="center"/>
    </xf>
    <xf numFmtId="0" fontId="15" fillId="0" borderId="0" xfId="5" applyFont="1" applyAlignment="1">
      <alignment horizontal="center" vertical="center"/>
    </xf>
    <xf numFmtId="0" fontId="16" fillId="0" borderId="0" xfId="5" applyFont="1" applyAlignment="1">
      <alignment horizontal="center" vertical="center"/>
    </xf>
    <xf numFmtId="0" fontId="10" fillId="0" borderId="0" xfId="5"/>
    <xf numFmtId="10" fontId="14" fillId="5" borderId="1" xfId="1" applyNumberFormat="1" applyFont="1" applyFill="1" applyBorder="1" applyAlignment="1" applyProtection="1">
      <alignment horizontal="center" vertical="center"/>
      <protection locked="0"/>
    </xf>
    <xf numFmtId="0" fontId="18" fillId="6" borderId="1" xfId="5" applyFont="1" applyFill="1" applyBorder="1" applyAlignment="1">
      <alignment horizontal="center" vertical="center"/>
    </xf>
    <xf numFmtId="0" fontId="9" fillId="0" borderId="1" xfId="4" applyFont="1" applyFill="1" applyBorder="1" applyAlignment="1" applyProtection="1">
      <alignment horizontal="center" vertical="center"/>
    </xf>
    <xf numFmtId="0" fontId="19" fillId="0" borderId="0" xfId="4" applyFont="1" applyFill="1" applyBorder="1" applyAlignment="1" applyProtection="1">
      <alignment horizontal="left" vertical="center"/>
    </xf>
    <xf numFmtId="2" fontId="11" fillId="0" borderId="0" xfId="0" applyNumberFormat="1" applyFont="1" applyAlignment="1">
      <alignment horizontal="center" vertical="center"/>
    </xf>
    <xf numFmtId="3" fontId="10" fillId="0" borderId="0" xfId="5" applyNumberFormat="1" applyAlignment="1">
      <alignment horizontal="center" vertical="center"/>
    </xf>
    <xf numFmtId="0" fontId="18" fillId="0" borderId="0" xfId="5" applyFont="1" applyAlignment="1">
      <alignment horizontal="center" vertical="center"/>
    </xf>
    <xf numFmtId="0" fontId="20" fillId="0" borderId="0" xfId="0" applyFont="1" applyAlignment="1">
      <alignment vertical="center"/>
    </xf>
    <xf numFmtId="10" fontId="14" fillId="5" borderId="1" xfId="1" applyNumberFormat="1" applyFont="1" applyFill="1" applyBorder="1" applyAlignment="1" applyProtection="1">
      <alignment horizontal="center" vertical="center"/>
    </xf>
    <xf numFmtId="2" fontId="16" fillId="0" borderId="0" xfId="5" applyNumberFormat="1" applyFont="1" applyAlignment="1">
      <alignment horizontal="center" vertical="center"/>
    </xf>
    <xf numFmtId="2" fontId="10" fillId="0" borderId="0" xfId="5" applyNumberFormat="1" applyAlignment="1">
      <alignment horizontal="center" vertical="center"/>
    </xf>
    <xf numFmtId="0" fontId="8" fillId="7" borderId="1" xfId="0" applyFont="1" applyFill="1" applyBorder="1" applyAlignment="1">
      <alignment horizontal="left" vertical="center"/>
    </xf>
    <xf numFmtId="1" fontId="21" fillId="7" borderId="1" xfId="5" applyNumberFormat="1" applyFont="1" applyFill="1" applyBorder="1" applyAlignment="1">
      <alignment horizontal="center" vertical="center"/>
    </xf>
    <xf numFmtId="0" fontId="21" fillId="7" borderId="1" xfId="5" applyFont="1" applyFill="1" applyBorder="1" applyAlignment="1">
      <alignment horizontal="center" vertical="center"/>
    </xf>
    <xf numFmtId="165" fontId="14" fillId="7" borderId="4" xfId="0" applyNumberFormat="1" applyFont="1" applyFill="1" applyBorder="1" applyAlignment="1" applyProtection="1">
      <alignment horizontal="center" vertical="center"/>
      <protection locked="0"/>
    </xf>
    <xf numFmtId="0" fontId="14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center" vertical="center"/>
    </xf>
    <xf numFmtId="0" fontId="23" fillId="0" borderId="0" xfId="5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3" fontId="11" fillId="0" borderId="0" xfId="0" applyNumberFormat="1" applyFont="1" applyAlignment="1" applyProtection="1">
      <alignment horizontal="center" vertical="center"/>
      <protection locked="0"/>
    </xf>
    <xf numFmtId="1" fontId="11" fillId="0" borderId="0" xfId="0" applyNumberFormat="1" applyFont="1" applyAlignment="1">
      <alignment horizontal="center" vertical="center"/>
    </xf>
    <xf numFmtId="2" fontId="11" fillId="0" borderId="0" xfId="0" applyNumberFormat="1" applyFont="1" applyAlignment="1" applyProtection="1">
      <alignment horizontal="center" vertical="center"/>
      <protection locked="0"/>
    </xf>
    <xf numFmtId="0" fontId="8" fillId="8" borderId="5" xfId="0" applyFont="1" applyFill="1" applyBorder="1" applyAlignment="1">
      <alignment horizontal="center" vertical="center"/>
    </xf>
    <xf numFmtId="2" fontId="8" fillId="8" borderId="5" xfId="0" applyNumberFormat="1" applyFont="1" applyFill="1" applyBorder="1" applyAlignment="1">
      <alignment horizontal="center" vertical="center"/>
    </xf>
    <xf numFmtId="164" fontId="24" fillId="0" borderId="0" xfId="2" applyNumberFormat="1" applyFont="1" applyFill="1" applyBorder="1" applyAlignment="1">
      <alignment horizontal="center" vertical="center"/>
    </xf>
    <xf numFmtId="0" fontId="22" fillId="8" borderId="5" xfId="0" applyFont="1" applyFill="1" applyBorder="1" applyAlignment="1">
      <alignment horizontal="left" vertical="center"/>
    </xf>
    <xf numFmtId="3" fontId="22" fillId="8" borderId="5" xfId="2" applyNumberFormat="1" applyFont="1" applyFill="1" applyBorder="1" applyAlignment="1">
      <alignment horizontal="center" vertical="center"/>
    </xf>
    <xf numFmtId="0" fontId="22" fillId="8" borderId="5" xfId="0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167" fontId="24" fillId="0" borderId="0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5" fontId="22" fillId="8" borderId="5" xfId="0" applyNumberFormat="1" applyFont="1" applyFill="1" applyBorder="1" applyAlignment="1">
      <alignment horizontal="center" vertical="center"/>
    </xf>
    <xf numFmtId="0" fontId="24" fillId="0" borderId="0" xfId="5" applyFont="1" applyAlignment="1">
      <alignment horizontal="center" vertical="center"/>
    </xf>
    <xf numFmtId="2" fontId="25" fillId="3" borderId="3" xfId="3" applyNumberFormat="1" applyFont="1" applyAlignment="1" applyProtection="1">
      <alignment horizontal="center" vertical="center"/>
      <protection locked="0"/>
    </xf>
    <xf numFmtId="0" fontId="14" fillId="5" borderId="1" xfId="1" applyNumberFormat="1" applyFont="1" applyFill="1" applyBorder="1" applyAlignment="1" applyProtection="1">
      <alignment horizontal="center" vertical="center"/>
      <protection locked="0"/>
    </xf>
    <xf numFmtId="0" fontId="0" fillId="0" borderId="7" xfId="0" applyBorder="1"/>
    <xf numFmtId="0" fontId="2" fillId="2" borderId="7" xfId="0" applyFont="1" applyFill="1" applyBorder="1"/>
    <xf numFmtId="0" fontId="0" fillId="0" borderId="2" xfId="0" applyBorder="1"/>
    <xf numFmtId="9" fontId="0" fillId="0" borderId="7" xfId="1" applyFont="1" applyBorder="1" applyAlignment="1">
      <alignment horizontal="center"/>
    </xf>
    <xf numFmtId="9" fontId="0" fillId="0" borderId="11" xfId="1" applyFont="1" applyBorder="1" applyAlignment="1">
      <alignment horizontal="center"/>
    </xf>
    <xf numFmtId="169" fontId="0" fillId="0" borderId="7" xfId="2" applyNumberFormat="1" applyFont="1" applyBorder="1" applyAlignment="1">
      <alignment horizontal="center" vertical="center"/>
    </xf>
    <xf numFmtId="169" fontId="0" fillId="0" borderId="11" xfId="2" applyNumberFormat="1" applyFont="1" applyBorder="1" applyAlignment="1">
      <alignment horizontal="center" vertical="center"/>
    </xf>
    <xf numFmtId="169" fontId="0" fillId="0" borderId="2" xfId="2" applyNumberFormat="1" applyFont="1" applyBorder="1" applyAlignment="1">
      <alignment horizontal="center" vertical="center"/>
    </xf>
    <xf numFmtId="169" fontId="0" fillId="0" borderId="1" xfId="2" applyNumberFormat="1" applyFont="1" applyBorder="1" applyAlignment="1">
      <alignment horizontal="center" vertical="center"/>
    </xf>
    <xf numFmtId="166" fontId="0" fillId="0" borderId="0" xfId="0" applyNumberFormat="1" applyFont="1"/>
    <xf numFmtId="165" fontId="14" fillId="7" borderId="10" xfId="0" applyNumberFormat="1" applyFont="1" applyFill="1" applyBorder="1" applyAlignment="1" applyProtection="1">
      <alignment horizontal="center" vertical="center"/>
      <protection locked="0"/>
    </xf>
    <xf numFmtId="2" fontId="25" fillId="3" borderId="1" xfId="3" applyNumberFormat="1" applyFont="1" applyBorder="1" applyAlignment="1" applyProtection="1">
      <alignment horizontal="center" vertical="center"/>
      <protection locked="0"/>
    </xf>
    <xf numFmtId="166" fontId="25" fillId="3" borderId="1" xfId="3" applyNumberFormat="1" applyFont="1" applyBorder="1" applyAlignment="1" applyProtection="1">
      <alignment horizontal="center" vertical="center"/>
      <protection locked="0"/>
    </xf>
    <xf numFmtId="1" fontId="27" fillId="9" borderId="6" xfId="0" applyNumberFormat="1" applyFont="1" applyFill="1" applyBorder="1" applyAlignment="1">
      <alignment horizontal="center" vertical="center"/>
    </xf>
    <xf numFmtId="1" fontId="27" fillId="9" borderId="1" xfId="0" applyNumberFormat="1" applyFont="1" applyFill="1" applyBorder="1" applyAlignment="1">
      <alignment horizontal="center" vertical="center"/>
    </xf>
    <xf numFmtId="1" fontId="27" fillId="10" borderId="14" xfId="0" applyNumberFormat="1" applyFont="1" applyFill="1" applyBorder="1" applyAlignment="1">
      <alignment horizontal="center" vertical="center"/>
    </xf>
    <xf numFmtId="1" fontId="27" fillId="10" borderId="12" xfId="0" applyNumberFormat="1" applyFont="1" applyFill="1" applyBorder="1" applyAlignment="1">
      <alignment horizontal="center" vertical="center"/>
    </xf>
    <xf numFmtId="0" fontId="26" fillId="0" borderId="4" xfId="0" applyFont="1" applyBorder="1" applyAlignment="1">
      <alignment vertical="center"/>
    </xf>
    <xf numFmtId="0" fontId="26" fillId="0" borderId="17" xfId="0" applyFont="1" applyBorder="1" applyAlignment="1">
      <alignment horizontal="center" vertical="center"/>
    </xf>
    <xf numFmtId="168" fontId="26" fillId="0" borderId="10" xfId="2" applyNumberFormat="1" applyFont="1" applyFill="1" applyBorder="1" applyAlignment="1">
      <alignment horizontal="right" vertical="center"/>
    </xf>
    <xf numFmtId="168" fontId="26" fillId="0" borderId="4" xfId="2" applyNumberFormat="1" applyFont="1" applyFill="1" applyBorder="1" applyAlignment="1">
      <alignment horizontal="right" vertical="center"/>
    </xf>
    <xf numFmtId="0" fontId="26" fillId="0" borderId="12" xfId="0" applyFont="1" applyBorder="1" applyAlignment="1">
      <alignment vertical="center"/>
    </xf>
    <xf numFmtId="0" fontId="26" fillId="0" borderId="16" xfId="0" applyFont="1" applyBorder="1" applyAlignment="1">
      <alignment horizontal="center" vertical="center"/>
    </xf>
    <xf numFmtId="168" fontId="26" fillId="0" borderId="14" xfId="2" applyNumberFormat="1" applyFont="1" applyFill="1" applyBorder="1" applyAlignment="1">
      <alignment horizontal="right" vertical="center"/>
    </xf>
    <xf numFmtId="168" fontId="26" fillId="0" borderId="12" xfId="2" applyNumberFormat="1" applyFont="1" applyFill="1" applyBorder="1" applyAlignment="1">
      <alignment horizontal="right" vertical="center"/>
    </xf>
    <xf numFmtId="168" fontId="26" fillId="0" borderId="10" xfId="0" applyNumberFormat="1" applyFont="1" applyBorder="1" applyAlignment="1">
      <alignment horizontal="right" vertical="center"/>
    </xf>
    <xf numFmtId="168" fontId="26" fillId="0" borderId="4" xfId="0" applyNumberFormat="1" applyFont="1" applyBorder="1" applyAlignment="1">
      <alignment horizontal="right" vertical="center"/>
    </xf>
    <xf numFmtId="0" fontId="26" fillId="0" borderId="1" xfId="0" applyFont="1" applyBorder="1" applyAlignment="1">
      <alignment vertical="center"/>
    </xf>
    <xf numFmtId="0" fontId="26" fillId="0" borderId="13" xfId="0" applyFont="1" applyBorder="1" applyAlignment="1">
      <alignment horizontal="center" vertical="center"/>
    </xf>
    <xf numFmtId="168" fontId="26" fillId="0" borderId="6" xfId="0" applyNumberFormat="1" applyFont="1" applyBorder="1" applyAlignment="1">
      <alignment horizontal="right" vertical="center"/>
    </xf>
    <xf numFmtId="168" fontId="26" fillId="0" borderId="1" xfId="0" applyNumberFormat="1" applyFont="1" applyBorder="1" applyAlignment="1">
      <alignment horizontal="right" vertical="center"/>
    </xf>
    <xf numFmtId="168" fontId="26" fillId="0" borderId="14" xfId="0" applyNumberFormat="1" applyFont="1" applyBorder="1" applyAlignment="1">
      <alignment horizontal="right" vertical="center"/>
    </xf>
    <xf numFmtId="168" fontId="26" fillId="0" borderId="12" xfId="0" applyNumberFormat="1" applyFont="1" applyBorder="1" applyAlignment="1">
      <alignment horizontal="right" vertical="center"/>
    </xf>
    <xf numFmtId="0" fontId="27" fillId="0" borderId="1" xfId="0" applyFont="1" applyBorder="1" applyAlignment="1">
      <alignment horizontal="right" vertical="center"/>
    </xf>
    <xf numFmtId="0" fontId="27" fillId="0" borderId="13" xfId="0" applyFont="1" applyBorder="1" applyAlignment="1">
      <alignment horizontal="center" vertical="center"/>
    </xf>
    <xf numFmtId="168" fontId="27" fillId="0" borderId="6" xfId="0" applyNumberFormat="1" applyFont="1" applyBorder="1" applyAlignment="1">
      <alignment horizontal="right" vertical="center"/>
    </xf>
    <xf numFmtId="0" fontId="17" fillId="4" borderId="7" xfId="5" applyFont="1" applyFill="1" applyBorder="1" applyAlignment="1">
      <alignment horizontal="center" vertical="center" wrapText="1"/>
    </xf>
    <xf numFmtId="0" fontId="17" fillId="4" borderId="8" xfId="5" applyFont="1" applyFill="1" applyBorder="1" applyAlignment="1">
      <alignment horizontal="center" vertical="center" wrapText="1"/>
    </xf>
    <xf numFmtId="0" fontId="17" fillId="4" borderId="9" xfId="5" applyFont="1" applyFill="1" applyBorder="1" applyAlignment="1">
      <alignment horizontal="center" vertical="center" wrapText="1"/>
    </xf>
    <xf numFmtId="0" fontId="17" fillId="4" borderId="10" xfId="5" applyFont="1" applyFill="1" applyBorder="1" applyAlignment="1">
      <alignment horizontal="center" vertical="center" wrapText="1"/>
    </xf>
    <xf numFmtId="0" fontId="27" fillId="9" borderId="2" xfId="0" applyFont="1" applyFill="1" applyBorder="1" applyAlignment="1">
      <alignment horizontal="center" vertical="center"/>
    </xf>
    <xf numFmtId="0" fontId="27" fillId="9" borderId="15" xfId="0" applyFont="1" applyFill="1" applyBorder="1" applyAlignment="1">
      <alignment horizontal="center" vertical="center"/>
    </xf>
    <xf numFmtId="0" fontId="26" fillId="10" borderId="18" xfId="0" applyFont="1" applyFill="1" applyBorder="1" applyAlignment="1">
      <alignment horizontal="center" vertical="center"/>
    </xf>
    <xf numFmtId="0" fontId="26" fillId="10" borderId="19" xfId="0" applyFont="1" applyFill="1" applyBorder="1" applyAlignment="1">
      <alignment horizontal="center" vertical="center"/>
    </xf>
  </cellXfs>
  <cellStyles count="6">
    <cellStyle name="Comma" xfId="2" builtinId="3"/>
    <cellStyle name="Hyperlink" xfId="4" builtinId="8"/>
    <cellStyle name="Input" xfId="3" builtinId="20"/>
    <cellStyle name="Normal" xfId="0" builtinId="0"/>
    <cellStyle name="Normalny 3" xfId="5" xr:uid="{7B4437D6-4C1C-4CB1-A065-9E2B05385F2D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500"/>
            </a:pPr>
            <a:r>
              <a:rPr lang="pl-PL" sz="2500"/>
              <a:t>Sensitivity Analysis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CAPEX</c:v>
          </c:tx>
          <c:marker>
            <c:symbol val="none"/>
          </c:marker>
          <c:xVal>
            <c:numRef>
              <c:f>'Sensitivity Analysis'!$C$4:$G$4</c:f>
              <c:numCache>
                <c:formatCode>0%</c:formatCode>
                <c:ptCount val="5"/>
                <c:pt idx="0">
                  <c:v>-0.5</c:v>
                </c:pt>
                <c:pt idx="1">
                  <c:v>-0.15</c:v>
                </c:pt>
                <c:pt idx="2">
                  <c:v>0</c:v>
                </c:pt>
                <c:pt idx="3">
                  <c:v>0.15</c:v>
                </c:pt>
                <c:pt idx="4">
                  <c:v>0.5</c:v>
                </c:pt>
              </c:numCache>
            </c:numRef>
          </c:xVal>
          <c:yVal>
            <c:numRef>
              <c:f>'Sensitivity Analysis'!$C$5:$G$5</c:f>
              <c:numCache>
                <c:formatCode>_-* #\ ##0\ _z_³_-;\-* #\ ##0\ _z_³_-;_-* "-"??\ _z_³_-;_-@_-</c:formatCode>
                <c:ptCount val="5"/>
                <c:pt idx="0">
                  <c:v>246716.14788172019</c:v>
                </c:pt>
                <c:pt idx="1">
                  <c:v>172522.87698242484</c:v>
                </c:pt>
                <c:pt idx="2">
                  <c:v>140725.76088272681</c:v>
                </c:pt>
                <c:pt idx="3">
                  <c:v>108928.64478302882</c:v>
                </c:pt>
                <c:pt idx="4">
                  <c:v>34735.373883733482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9C-4DC4-A330-197382559A12}"/>
            </c:ext>
          </c:extLst>
        </c:ser>
        <c:ser>
          <c:idx val="1"/>
          <c:order val="1"/>
          <c:tx>
            <c:v>Heat cost</c:v>
          </c:tx>
          <c:marker>
            <c:symbol val="none"/>
          </c:marker>
          <c:xVal>
            <c:numRef>
              <c:f>'Sensitivity Analysis'!$C$4:$G$4</c:f>
              <c:numCache>
                <c:formatCode>0%</c:formatCode>
                <c:ptCount val="5"/>
                <c:pt idx="0">
                  <c:v>-0.5</c:v>
                </c:pt>
                <c:pt idx="1">
                  <c:v>-0.15</c:v>
                </c:pt>
                <c:pt idx="2">
                  <c:v>0</c:v>
                </c:pt>
                <c:pt idx="3">
                  <c:v>0.15</c:v>
                </c:pt>
                <c:pt idx="4">
                  <c:v>0.5</c:v>
                </c:pt>
              </c:numCache>
            </c:numRef>
          </c:xVal>
          <c:yVal>
            <c:numRef>
              <c:f>'Sensitivity Analysis'!$C$6:$G$6</c:f>
              <c:numCache>
                <c:formatCode>_-* #\ ##0\ _z_³_-;\-* #\ ##0\ _z_³_-;_-* "-"??\ _z_³_-;_-@_-</c:formatCode>
                <c:ptCount val="5"/>
                <c:pt idx="0">
                  <c:v>-42506.572050627714</c:v>
                </c:pt>
                <c:pt idx="1">
                  <c:v>86464.306132315352</c:v>
                </c:pt>
                <c:pt idx="2">
                  <c:v>140725.76088272681</c:v>
                </c:pt>
                <c:pt idx="3">
                  <c:v>194987.21563313843</c:v>
                </c:pt>
                <c:pt idx="4">
                  <c:v>321597.27671743208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79C-4DC4-A330-197382559A12}"/>
            </c:ext>
          </c:extLst>
        </c:ser>
        <c:ser>
          <c:idx val="2"/>
          <c:order val="2"/>
          <c:tx>
            <c:v>Inflation value</c:v>
          </c:tx>
          <c:marker>
            <c:symbol val="none"/>
          </c:marker>
          <c:xVal>
            <c:numRef>
              <c:f>'Sensitivity Analysis'!$C$4:$G$4</c:f>
              <c:numCache>
                <c:formatCode>0%</c:formatCode>
                <c:ptCount val="5"/>
                <c:pt idx="0">
                  <c:v>-0.5</c:v>
                </c:pt>
                <c:pt idx="1">
                  <c:v>-0.15</c:v>
                </c:pt>
                <c:pt idx="2">
                  <c:v>0</c:v>
                </c:pt>
                <c:pt idx="3">
                  <c:v>0.15</c:v>
                </c:pt>
                <c:pt idx="4">
                  <c:v>0.5</c:v>
                </c:pt>
              </c:numCache>
            </c:numRef>
          </c:xVal>
          <c:yVal>
            <c:numRef>
              <c:f>'Sensitivity Analysis'!$C$7:$G$7</c:f>
              <c:numCache>
                <c:formatCode>_-* #\ ##0\ _z_³_-;\-* #\ ##0\ _z_³_-;_-* "-"??\ _z_³_-;_-@_-</c:formatCode>
                <c:ptCount val="5"/>
                <c:pt idx="0">
                  <c:v>108302.25588623174</c:v>
                </c:pt>
                <c:pt idx="1">
                  <c:v>130546.06476213841</c:v>
                </c:pt>
                <c:pt idx="2">
                  <c:v>140725.76088272681</c:v>
                </c:pt>
                <c:pt idx="3">
                  <c:v>151319.38460372863</c:v>
                </c:pt>
                <c:pt idx="4">
                  <c:v>177756.6588062614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79C-4DC4-A330-197382559A12}"/>
            </c:ext>
          </c:extLst>
        </c:ser>
        <c:ser>
          <c:idx val="3"/>
          <c:order val="3"/>
          <c:tx>
            <c:v>Borrowed capital amount</c:v>
          </c:tx>
          <c:marker>
            <c:symbol val="none"/>
          </c:marker>
          <c:xVal>
            <c:numRef>
              <c:f>'Sensitivity Analysis'!$C$4:$G$4</c:f>
              <c:numCache>
                <c:formatCode>0%</c:formatCode>
                <c:ptCount val="5"/>
                <c:pt idx="0">
                  <c:v>-0.5</c:v>
                </c:pt>
                <c:pt idx="1">
                  <c:v>-0.15</c:v>
                </c:pt>
                <c:pt idx="2">
                  <c:v>0</c:v>
                </c:pt>
                <c:pt idx="3">
                  <c:v>0.15</c:v>
                </c:pt>
                <c:pt idx="4">
                  <c:v>0.5</c:v>
                </c:pt>
              </c:numCache>
            </c:numRef>
          </c:xVal>
          <c:yVal>
            <c:numRef>
              <c:f>'Sensitivity Analysis'!$C$8:$G$8</c:f>
              <c:numCache>
                <c:formatCode>_-* #\ ##0\ _z_³_-;\-* #\ ##0\ _z_³_-;_-* "-"??\ _z_³_-;_-@_-</c:formatCode>
                <c:ptCount val="5"/>
                <c:pt idx="0">
                  <c:v>136870.3279884315</c:v>
                </c:pt>
                <c:pt idx="1">
                  <c:v>139569.1310144382</c:v>
                </c:pt>
                <c:pt idx="2">
                  <c:v>140725.76088272681</c:v>
                </c:pt>
                <c:pt idx="3">
                  <c:v>141882.39075101539</c:v>
                </c:pt>
                <c:pt idx="4">
                  <c:v>144581.1937770221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79C-4DC4-A330-197382559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490592"/>
        <c:axId val="1768486848"/>
      </c:scatterChart>
      <c:valAx>
        <c:axId val="1768490592"/>
        <c:scaling>
          <c:orientation val="minMax"/>
        </c:scaling>
        <c:delete val="0"/>
        <c:axPos val="b"/>
        <c:minorGridlines>
          <c:spPr>
            <a:ln>
              <a:solidFill>
                <a:srgbClr val="D7D7D7"/>
              </a:solidFill>
              <a:prstDash val="solid"/>
            </a:ln>
          </c:spPr>
        </c:minorGridlines>
        <c:numFmt formatCode="0%" sourceLinked="1"/>
        <c:majorTickMark val="out"/>
        <c:minorTickMark val="none"/>
        <c:tickLblPos val="nextTo"/>
        <c:spPr>
          <a:ln w="12700"/>
        </c:spPr>
        <c:txPr>
          <a:bodyPr/>
          <a:lstStyle/>
          <a:p>
            <a:pPr>
              <a:defRPr sz="1500"/>
            </a:pPr>
            <a:endParaRPr lang="pl-PL"/>
          </a:p>
        </c:txPr>
        <c:crossAx val="1768486848"/>
        <c:crosses val="autoZero"/>
        <c:crossBetween val="midCat"/>
      </c:valAx>
      <c:valAx>
        <c:axId val="1768486848"/>
        <c:scaling>
          <c:orientation val="minMax"/>
        </c:scaling>
        <c:delete val="0"/>
        <c:axPos val="l"/>
        <c:majorGridlines/>
        <c:minorGridlines>
          <c:spPr>
            <a:ln>
              <a:solidFill>
                <a:srgbClr val="D7D7D7"/>
              </a:solidFill>
              <a:prstDash val="solid"/>
            </a:ln>
          </c:spPr>
        </c:minorGridlines>
        <c:numFmt formatCode="_-* #\ ##0\ _z_³_-;\-* #\ ##0\ _z_³_-;_-* &quot;-&quot;??\ _z_³_-;_-@_-" sourceLinked="1"/>
        <c:majorTickMark val="out"/>
        <c:minorTickMark val="none"/>
        <c:tickLblPos val="nextTo"/>
        <c:spPr>
          <a:ln w="12700"/>
        </c:spPr>
        <c:txPr>
          <a:bodyPr/>
          <a:lstStyle/>
          <a:p>
            <a:pPr>
              <a:defRPr sz="1500"/>
            </a:pPr>
            <a:endParaRPr lang="pl-PL"/>
          </a:p>
        </c:txPr>
        <c:crossAx val="1768490592"/>
        <c:crosses val="autoZero"/>
        <c:crossBetween val="midCat"/>
        <c:dispUnits>
          <c:builtInUnit val="thousands"/>
          <c:dispUnitsLbl>
            <c:tx>
              <c:rich>
                <a:bodyPr/>
                <a:lstStyle/>
                <a:p>
                  <a:pPr>
                    <a:defRPr sz="1500"/>
                  </a:pPr>
                  <a:r>
                    <a:rPr lang="pl-PL" sz="1500"/>
                    <a:t>Thousands</a:t>
                  </a:r>
                </a:p>
              </c:rich>
            </c:tx>
          </c:dispUnitsLbl>
        </c:dispUnits>
      </c:valAx>
    </c:plotArea>
    <c:legend>
      <c:legendPos val="r"/>
      <c:overlay val="0"/>
      <c:txPr>
        <a:bodyPr/>
        <a:lstStyle/>
        <a:p>
          <a:pPr>
            <a:defRPr sz="1500"/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251460</xdr:colOff>
          <xdr:row>3</xdr:row>
          <xdr:rowOff>83820</xdr:rowOff>
        </xdr:from>
        <xdr:to>
          <xdr:col>12</xdr:col>
          <xdr:colOff>556260</xdr:colOff>
          <xdr:row>6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Display Userform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155575</xdr:colOff>
      <xdr:row>13</xdr:row>
      <xdr:rowOff>168275</xdr:rowOff>
    </xdr:from>
    <xdr:to>
      <xdr:col>16</xdr:col>
      <xdr:colOff>521335</xdr:colOff>
      <xdr:row>45</xdr:row>
      <xdr:rowOff>92075</xdr:rowOff>
    </xdr:to>
    <xdr:graphicFrame macro="">
      <xdr:nvGraphicFramePr>
        <xdr:cNvPr id="2" name="Sensitivity Analysi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22"/>
  <sheetViews>
    <sheetView zoomScale="70" zoomScaleNormal="70" workbookViewId="0">
      <selection activeCell="C14" sqref="C14"/>
    </sheetView>
  </sheetViews>
  <sheetFormatPr defaultRowHeight="14.4" x14ac:dyDescent="0.3"/>
  <cols>
    <col min="1" max="1" width="57.44140625" bestFit="1" customWidth="1"/>
    <col min="2" max="2" width="20" customWidth="1"/>
    <col min="3" max="3" width="13.109375" customWidth="1"/>
    <col min="4" max="22" width="12.77734375" customWidth="1"/>
  </cols>
  <sheetData>
    <row r="1" spans="1:23" ht="18" x14ac:dyDescent="0.3">
      <c r="A1" s="3" t="s">
        <v>12</v>
      </c>
      <c r="B1" s="3" t="s">
        <v>22</v>
      </c>
      <c r="C1" s="3" t="s">
        <v>30</v>
      </c>
      <c r="D1" s="4"/>
      <c r="E1" s="4"/>
      <c r="F1" s="4"/>
      <c r="G1" s="4"/>
      <c r="H1" s="5"/>
      <c r="I1" s="4"/>
      <c r="J1" s="4"/>
      <c r="K1" s="6"/>
      <c r="L1" s="6"/>
      <c r="M1" s="6"/>
      <c r="N1" s="6"/>
      <c r="O1" s="6"/>
      <c r="P1" s="7"/>
      <c r="Q1" s="7"/>
      <c r="R1" s="5"/>
      <c r="S1" s="8"/>
      <c r="T1" s="8"/>
      <c r="U1" s="8"/>
      <c r="V1" s="8"/>
    </row>
    <row r="2" spans="1:23" ht="18" x14ac:dyDescent="0.3">
      <c r="A2" s="9" t="s">
        <v>13</v>
      </c>
      <c r="B2" s="52">
        <v>240000</v>
      </c>
      <c r="C2" s="10" t="s">
        <v>1</v>
      </c>
      <c r="D2" s="4"/>
      <c r="E2" s="4"/>
      <c r="F2" s="4"/>
      <c r="G2" s="4"/>
      <c r="H2" s="4"/>
      <c r="I2" s="4"/>
      <c r="J2" s="4"/>
      <c r="K2" s="6"/>
      <c r="L2" s="6"/>
      <c r="M2" s="11"/>
      <c r="N2" s="11"/>
      <c r="O2" s="12"/>
      <c r="P2" s="11"/>
      <c r="Q2" s="11"/>
      <c r="R2" s="5"/>
      <c r="S2" s="8"/>
      <c r="T2" s="13"/>
      <c r="U2" s="13"/>
      <c r="V2" s="13"/>
    </row>
    <row r="3" spans="1:23" ht="18" x14ac:dyDescent="0.3">
      <c r="A3" s="9" t="s">
        <v>14</v>
      </c>
      <c r="B3" s="52">
        <v>20000</v>
      </c>
      <c r="C3" s="10" t="s">
        <v>1</v>
      </c>
      <c r="D3" s="4"/>
      <c r="E3" s="4"/>
      <c r="F3" s="4"/>
      <c r="G3" s="4"/>
      <c r="H3" s="4"/>
      <c r="I3" s="4"/>
      <c r="J3" s="4"/>
      <c r="K3" s="6"/>
      <c r="L3" s="6"/>
      <c r="M3" s="11"/>
      <c r="N3" s="11"/>
      <c r="O3" s="12"/>
      <c r="P3" s="11"/>
      <c r="Q3" s="11"/>
      <c r="R3" s="5"/>
      <c r="S3" s="8"/>
      <c r="T3" s="13"/>
      <c r="U3" s="13"/>
      <c r="V3" s="13"/>
    </row>
    <row r="4" spans="1:23" ht="18" x14ac:dyDescent="0.3">
      <c r="A4" s="9" t="s">
        <v>15</v>
      </c>
      <c r="B4" s="14">
        <v>2.5000000000000001E-2</v>
      </c>
      <c r="C4" s="10" t="s">
        <v>2</v>
      </c>
      <c r="D4" s="4"/>
      <c r="E4" s="15"/>
      <c r="F4" s="16"/>
      <c r="G4" s="4"/>
      <c r="H4" s="4"/>
      <c r="I4" s="4"/>
      <c r="J4" s="4"/>
      <c r="K4" s="6"/>
      <c r="L4" s="6"/>
      <c r="M4" s="6"/>
      <c r="N4" s="11"/>
      <c r="O4" s="11"/>
      <c r="P4" s="11"/>
      <c r="Q4" s="11"/>
      <c r="R4" s="17"/>
      <c r="S4" s="8"/>
      <c r="T4" s="8"/>
      <c r="U4" s="8"/>
      <c r="V4" s="8"/>
    </row>
    <row r="5" spans="1:23" ht="18" customHeight="1" x14ac:dyDescent="0.3">
      <c r="A5" s="9" t="s">
        <v>16</v>
      </c>
      <c r="B5" s="18">
        <v>0.1</v>
      </c>
      <c r="C5" s="10" t="s">
        <v>2</v>
      </c>
      <c r="D5" s="4"/>
      <c r="E5" s="90" t="s">
        <v>32</v>
      </c>
      <c r="F5" s="91"/>
      <c r="G5" s="19">
        <f>60</f>
        <v>60</v>
      </c>
      <c r="H5" s="20" t="s">
        <v>3</v>
      </c>
      <c r="I5" s="21"/>
      <c r="J5" s="21"/>
      <c r="K5" s="22"/>
      <c r="L5" s="6"/>
      <c r="M5" s="6"/>
      <c r="N5" s="11"/>
      <c r="O5" s="11"/>
      <c r="P5" s="11"/>
      <c r="Q5" s="11"/>
      <c r="R5" s="5"/>
      <c r="S5" s="5"/>
      <c r="T5" s="5"/>
      <c r="U5" s="5"/>
      <c r="V5" s="5"/>
    </row>
    <row r="6" spans="1:23" ht="18" x14ac:dyDescent="0.3">
      <c r="A6" s="9" t="s">
        <v>17</v>
      </c>
      <c r="B6" s="18">
        <f>(B2-B3)/B2</f>
        <v>0.91666666666666663</v>
      </c>
      <c r="C6" s="10" t="s">
        <v>2</v>
      </c>
      <c r="D6" s="4"/>
      <c r="E6" s="92"/>
      <c r="F6" s="93"/>
      <c r="G6" s="19">
        <f>G5*3.6</f>
        <v>216</v>
      </c>
      <c r="H6" s="20" t="s">
        <v>4</v>
      </c>
      <c r="I6" s="21"/>
      <c r="J6" s="21"/>
      <c r="K6" s="6"/>
      <c r="L6" s="5"/>
      <c r="M6" s="5"/>
      <c r="N6" s="23"/>
      <c r="O6" s="23"/>
      <c r="P6" s="5"/>
      <c r="Q6" s="5"/>
      <c r="R6" s="5"/>
      <c r="S6" s="24"/>
      <c r="T6" s="5"/>
      <c r="U6" s="24"/>
      <c r="V6" s="5"/>
    </row>
    <row r="7" spans="1:23" ht="18" x14ac:dyDescent="0.3">
      <c r="A7" s="9" t="s">
        <v>18</v>
      </c>
      <c r="B7" s="18">
        <f>1-B6</f>
        <v>8.333333333333337E-2</v>
      </c>
      <c r="C7" s="10" t="s">
        <v>2</v>
      </c>
      <c r="D7" s="4"/>
      <c r="E7" s="4"/>
      <c r="F7" s="4"/>
      <c r="G7" s="4"/>
      <c r="H7" s="4"/>
      <c r="I7" s="4"/>
      <c r="J7" s="4"/>
      <c r="K7" s="22"/>
      <c r="L7" s="16"/>
      <c r="M7" s="16"/>
      <c r="N7" s="16"/>
      <c r="O7" s="16"/>
      <c r="P7" s="16"/>
      <c r="Q7" s="16"/>
      <c r="R7" s="5"/>
      <c r="S7" s="24"/>
      <c r="T7" s="5"/>
      <c r="U7" s="24"/>
      <c r="V7" s="5"/>
    </row>
    <row r="8" spans="1:23" ht="18" x14ac:dyDescent="0.3">
      <c r="A8" s="9" t="s">
        <v>35</v>
      </c>
      <c r="B8" s="53">
        <v>10</v>
      </c>
      <c r="C8" s="10" t="s">
        <v>31</v>
      </c>
      <c r="D8" s="4"/>
      <c r="E8" s="4"/>
      <c r="F8" s="4"/>
      <c r="G8" s="4"/>
      <c r="H8" s="4"/>
      <c r="I8" s="4"/>
      <c r="J8" s="4"/>
      <c r="K8" s="22"/>
      <c r="L8" s="16"/>
      <c r="M8" s="16"/>
      <c r="N8" s="16"/>
      <c r="O8" s="16"/>
      <c r="P8" s="16"/>
      <c r="Q8" s="16"/>
      <c r="R8" s="5"/>
      <c r="S8" s="24"/>
      <c r="T8" s="5"/>
      <c r="U8" s="24"/>
      <c r="V8" s="5"/>
    </row>
    <row r="9" spans="1:23" ht="18" x14ac:dyDescent="0.3">
      <c r="A9" s="9" t="s">
        <v>19</v>
      </c>
      <c r="B9" s="18">
        <v>0.1</v>
      </c>
      <c r="C9" s="10" t="s">
        <v>2</v>
      </c>
      <c r="D9" s="4"/>
      <c r="E9" s="4"/>
      <c r="F9" s="4"/>
      <c r="G9" s="4"/>
      <c r="H9" s="4"/>
      <c r="I9" s="4"/>
      <c r="J9" s="4"/>
      <c r="K9" s="25"/>
      <c r="L9" s="16"/>
      <c r="M9" s="16"/>
      <c r="N9" s="16"/>
      <c r="O9" s="16"/>
      <c r="P9" s="16"/>
      <c r="Q9" s="16"/>
      <c r="R9" s="5"/>
      <c r="S9" s="24"/>
      <c r="T9" s="5"/>
      <c r="U9" s="24"/>
      <c r="V9" s="5"/>
    </row>
    <row r="10" spans="1:23" ht="18" x14ac:dyDescent="0.3">
      <c r="A10" s="9" t="s">
        <v>20</v>
      </c>
      <c r="B10" s="18">
        <v>0.19</v>
      </c>
      <c r="C10" s="10" t="s">
        <v>2</v>
      </c>
      <c r="D10" s="4"/>
      <c r="E10" s="4"/>
      <c r="F10" s="4"/>
      <c r="G10" s="4"/>
      <c r="H10" s="4"/>
      <c r="I10" s="4"/>
      <c r="J10" s="4"/>
      <c r="K10" s="22"/>
      <c r="L10" s="16"/>
      <c r="M10" s="16"/>
      <c r="N10" s="16"/>
      <c r="O10" s="16"/>
      <c r="P10" s="16"/>
      <c r="Q10" s="16"/>
      <c r="R10" s="5"/>
      <c r="S10" s="5"/>
      <c r="T10" s="5"/>
      <c r="U10" s="5"/>
      <c r="V10" s="5"/>
    </row>
    <row r="11" spans="1:23" ht="18" x14ac:dyDescent="0.3">
      <c r="A11" s="9" t="s">
        <v>21</v>
      </c>
      <c r="B11" s="26">
        <f>B5</f>
        <v>0.1</v>
      </c>
      <c r="C11" s="10" t="s">
        <v>2</v>
      </c>
      <c r="D11" s="4"/>
      <c r="E11" s="4"/>
      <c r="F11" s="4"/>
      <c r="G11" s="4"/>
      <c r="H11" s="4"/>
      <c r="I11" s="4"/>
      <c r="J11" s="4"/>
      <c r="K11" s="22"/>
      <c r="L11" s="16"/>
      <c r="M11" s="16"/>
      <c r="N11" s="16"/>
      <c r="O11" s="16"/>
      <c r="P11" s="27"/>
      <c r="Q11" s="27"/>
      <c r="R11" s="28"/>
      <c r="S11" s="5"/>
      <c r="T11" s="5"/>
      <c r="U11" s="5"/>
      <c r="V11" s="5"/>
    </row>
    <row r="12" spans="1:23" ht="18" x14ac:dyDescent="0.3">
      <c r="A12" s="29" t="s">
        <v>23</v>
      </c>
      <c r="B12" s="30" t="s">
        <v>55</v>
      </c>
      <c r="C12" s="30">
        <v>2021</v>
      </c>
      <c r="D12" s="31">
        <v>2022</v>
      </c>
      <c r="E12" s="30">
        <v>2023</v>
      </c>
      <c r="F12" s="31">
        <v>2024</v>
      </c>
      <c r="G12" s="30">
        <v>2025</v>
      </c>
      <c r="H12" s="31">
        <v>2026</v>
      </c>
      <c r="I12" s="30">
        <v>2027</v>
      </c>
      <c r="J12" s="31">
        <v>2028</v>
      </c>
      <c r="K12" s="30">
        <v>2029</v>
      </c>
      <c r="L12" s="31">
        <v>2030</v>
      </c>
      <c r="M12" s="30">
        <v>2031</v>
      </c>
      <c r="N12" s="31">
        <v>2032</v>
      </c>
      <c r="O12" s="30">
        <v>2033</v>
      </c>
      <c r="P12" s="31">
        <v>2034</v>
      </c>
      <c r="Q12" s="30">
        <v>2035</v>
      </c>
      <c r="R12" s="31">
        <v>2036</v>
      </c>
      <c r="S12" s="30">
        <v>2037</v>
      </c>
      <c r="T12" s="31">
        <v>2038</v>
      </c>
      <c r="U12" s="30">
        <v>2039</v>
      </c>
      <c r="V12" s="31">
        <v>2040</v>
      </c>
      <c r="W12" s="30">
        <v>2041</v>
      </c>
    </row>
    <row r="13" spans="1:23" ht="18" x14ac:dyDescent="0.3">
      <c r="A13" s="33" t="s">
        <v>28</v>
      </c>
      <c r="B13" s="34" t="s">
        <v>4</v>
      </c>
      <c r="C13" s="65">
        <f>G6</f>
        <v>216</v>
      </c>
      <c r="D13" s="64">
        <f t="shared" ref="D13:W13" si="0">C13*(1+$B$4)</f>
        <v>221.39999999999998</v>
      </c>
      <c r="E13" s="32">
        <f t="shared" si="0"/>
        <v>226.93499999999995</v>
      </c>
      <c r="F13" s="32">
        <f t="shared" si="0"/>
        <v>232.60837499999991</v>
      </c>
      <c r="G13" s="32">
        <f t="shared" si="0"/>
        <v>238.42358437499988</v>
      </c>
      <c r="H13" s="32">
        <f t="shared" si="0"/>
        <v>244.38417398437485</v>
      </c>
      <c r="I13" s="32">
        <f t="shared" si="0"/>
        <v>250.49377833398421</v>
      </c>
      <c r="J13" s="32">
        <f t="shared" si="0"/>
        <v>256.75612279233377</v>
      </c>
      <c r="K13" s="32">
        <f t="shared" si="0"/>
        <v>263.17502586214209</v>
      </c>
      <c r="L13" s="32">
        <f t="shared" si="0"/>
        <v>269.75440150869559</v>
      </c>
      <c r="M13" s="32">
        <f t="shared" si="0"/>
        <v>276.49826154641295</v>
      </c>
      <c r="N13" s="32">
        <f t="shared" si="0"/>
        <v>283.41071808507326</v>
      </c>
      <c r="O13" s="32">
        <f t="shared" si="0"/>
        <v>290.49598603720005</v>
      </c>
      <c r="P13" s="32">
        <f t="shared" si="0"/>
        <v>297.75838568813003</v>
      </c>
      <c r="Q13" s="32">
        <f t="shared" si="0"/>
        <v>305.20234533033323</v>
      </c>
      <c r="R13" s="32">
        <f t="shared" si="0"/>
        <v>312.83240396359156</v>
      </c>
      <c r="S13" s="32">
        <f t="shared" si="0"/>
        <v>320.65321406268134</v>
      </c>
      <c r="T13" s="32">
        <f t="shared" si="0"/>
        <v>328.66954441424832</v>
      </c>
      <c r="U13" s="32">
        <f t="shared" si="0"/>
        <v>336.8862830246045</v>
      </c>
      <c r="V13" s="32">
        <f t="shared" si="0"/>
        <v>345.30844010021957</v>
      </c>
      <c r="W13" s="32">
        <f t="shared" si="0"/>
        <v>353.94115110272503</v>
      </c>
    </row>
    <row r="14" spans="1:23" ht="18" x14ac:dyDescent="0.3">
      <c r="A14" s="33" t="s">
        <v>24</v>
      </c>
      <c r="B14" s="34" t="s">
        <v>26</v>
      </c>
      <c r="C14" s="66">
        <v>200</v>
      </c>
      <c r="D14" s="5"/>
      <c r="E14" s="5"/>
      <c r="F14" s="35"/>
      <c r="G14" s="5"/>
      <c r="H14" s="5"/>
      <c r="I14" s="21"/>
      <c r="J14" s="5"/>
      <c r="K14" s="5"/>
      <c r="L14" s="5"/>
      <c r="M14" s="5"/>
      <c r="N14" s="5"/>
      <c r="O14" s="27"/>
      <c r="P14" s="27"/>
      <c r="Q14" s="27"/>
      <c r="R14" s="27"/>
      <c r="S14" s="27"/>
      <c r="T14" s="27"/>
      <c r="U14" s="27"/>
    </row>
    <row r="15" spans="1:23" ht="18" x14ac:dyDescent="0.3">
      <c r="A15" s="33" t="s">
        <v>25</v>
      </c>
      <c r="B15" s="34" t="s">
        <v>27</v>
      </c>
      <c r="C15" s="65">
        <v>2000</v>
      </c>
      <c r="D15" s="17"/>
      <c r="E15" s="17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27"/>
      <c r="Q15" s="27"/>
      <c r="R15" s="27"/>
      <c r="S15" s="27"/>
      <c r="T15" s="27"/>
      <c r="U15" s="27"/>
    </row>
    <row r="16" spans="1:23" ht="17.399999999999999" x14ac:dyDescent="0.3">
      <c r="A16" s="37"/>
      <c r="B16" s="36"/>
      <c r="C16" s="38"/>
      <c r="D16" s="17"/>
      <c r="E16" s="17"/>
      <c r="F16" s="17"/>
      <c r="G16" s="36"/>
      <c r="H16" s="36"/>
      <c r="I16" s="39"/>
      <c r="J16" s="40"/>
      <c r="K16" s="39"/>
      <c r="L16" s="39"/>
      <c r="M16" s="39"/>
      <c r="N16" s="5"/>
      <c r="O16" s="5"/>
      <c r="P16" s="5"/>
      <c r="Q16" s="5"/>
      <c r="R16" s="5"/>
      <c r="S16" s="39"/>
      <c r="T16" s="39"/>
      <c r="U16" s="39"/>
      <c r="V16" s="39"/>
    </row>
    <row r="17" spans="1:22" ht="18" x14ac:dyDescent="0.3">
      <c r="A17" s="41" t="s">
        <v>29</v>
      </c>
      <c r="B17" s="42" t="s">
        <v>5</v>
      </c>
      <c r="C17" s="41" t="s">
        <v>30</v>
      </c>
      <c r="D17" s="38"/>
      <c r="E17" s="38"/>
      <c r="F17" s="43"/>
      <c r="G17" s="43"/>
      <c r="H17" s="43"/>
      <c r="I17" s="43"/>
      <c r="J17" s="43"/>
      <c r="K17" s="43"/>
      <c r="L17" s="39"/>
      <c r="M17" s="39"/>
      <c r="N17" s="5"/>
      <c r="O17" s="5"/>
      <c r="P17" s="5"/>
      <c r="Q17" s="5"/>
      <c r="R17" s="5"/>
      <c r="S17" s="39"/>
      <c r="T17" s="39"/>
      <c r="U17" s="39"/>
      <c r="V17" s="39"/>
    </row>
    <row r="18" spans="1:22" ht="18" x14ac:dyDescent="0.3">
      <c r="A18" s="44" t="s">
        <v>6</v>
      </c>
      <c r="B18" s="45">
        <f>Economy!C18</f>
        <v>140725.76088272681</v>
      </c>
      <c r="C18" s="46" t="s">
        <v>1</v>
      </c>
      <c r="D18" s="17"/>
      <c r="E18" s="17"/>
      <c r="F18" s="17"/>
      <c r="G18" s="43"/>
      <c r="H18" s="43"/>
      <c r="I18" s="43"/>
      <c r="J18" s="43"/>
      <c r="K18" s="43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</row>
    <row r="19" spans="1:22" ht="18" x14ac:dyDescent="0.3">
      <c r="A19" s="44" t="s">
        <v>7</v>
      </c>
      <c r="B19" s="47">
        <f>Economy!C19</f>
        <v>17.912920002922682</v>
      </c>
      <c r="C19" s="46" t="s">
        <v>8</v>
      </c>
      <c r="D19" s="17"/>
      <c r="E19" s="17"/>
      <c r="F19" s="17"/>
      <c r="G19" s="43"/>
      <c r="H19" s="43"/>
      <c r="I19" s="43"/>
      <c r="J19" s="43"/>
      <c r="K19" s="43"/>
      <c r="L19" s="48"/>
      <c r="M19" s="39"/>
      <c r="N19" s="39"/>
      <c r="O19" s="39"/>
      <c r="P19" s="39"/>
      <c r="Q19" s="39"/>
      <c r="R19" s="39"/>
      <c r="S19" s="39"/>
      <c r="T19" s="39"/>
      <c r="U19" s="39"/>
      <c r="V19" s="39"/>
    </row>
    <row r="20" spans="1:22" ht="18" x14ac:dyDescent="0.3">
      <c r="A20" s="44" t="s">
        <v>9</v>
      </c>
      <c r="B20" s="47">
        <f>Economy!C25</f>
        <v>63.966254946694001</v>
      </c>
      <c r="C20" s="46" t="s">
        <v>8</v>
      </c>
      <c r="D20" s="17"/>
      <c r="E20" s="17"/>
      <c r="F20" s="17"/>
      <c r="G20" s="43"/>
      <c r="H20" s="43"/>
      <c r="I20" s="43"/>
      <c r="J20" s="43"/>
      <c r="K20" s="43"/>
      <c r="L20" s="17"/>
      <c r="M20" s="49"/>
      <c r="N20" s="49"/>
      <c r="O20" s="5"/>
      <c r="P20" s="24"/>
      <c r="Q20" s="5"/>
      <c r="R20" s="28"/>
      <c r="S20" s="5"/>
      <c r="T20" s="5"/>
      <c r="U20" s="5"/>
      <c r="V20" s="5"/>
    </row>
    <row r="21" spans="1:22" ht="18" x14ac:dyDescent="0.3">
      <c r="A21" s="44" t="s">
        <v>10</v>
      </c>
      <c r="B21" s="50">
        <f>Economy!C21</f>
        <v>8.5060529058797929</v>
      </c>
      <c r="C21" s="46" t="s">
        <v>31</v>
      </c>
      <c r="D21" s="17"/>
      <c r="E21" s="17"/>
      <c r="F21" s="17"/>
      <c r="G21" s="43"/>
      <c r="H21" s="43"/>
      <c r="I21" s="43"/>
      <c r="J21" s="43"/>
      <c r="K21" s="43"/>
      <c r="L21" s="17"/>
      <c r="M21" s="51"/>
      <c r="N21" s="51"/>
      <c r="O21" s="51"/>
      <c r="P21" s="51"/>
      <c r="Q21" s="51"/>
      <c r="R21" s="51"/>
      <c r="S21" s="51"/>
      <c r="T21" s="51"/>
      <c r="U21" s="51"/>
      <c r="V21" s="51"/>
    </row>
    <row r="22" spans="1:22" ht="18" x14ac:dyDescent="0.3">
      <c r="A22" s="44" t="s">
        <v>11</v>
      </c>
      <c r="B22" s="50">
        <f>Economy!C24</f>
        <v>5.6640715965094444</v>
      </c>
      <c r="C22" s="46" t="s">
        <v>31</v>
      </c>
      <c r="D22" s="17"/>
      <c r="E22" s="17"/>
      <c r="F22" s="17"/>
      <c r="G22" s="43"/>
      <c r="H22" s="43"/>
      <c r="I22" s="43"/>
      <c r="J22" s="43"/>
      <c r="K22" s="43"/>
      <c r="L22" s="17"/>
      <c r="M22" s="40"/>
      <c r="N22" s="40"/>
      <c r="O22" s="40"/>
      <c r="P22" s="40"/>
      <c r="Q22" s="40"/>
      <c r="R22" s="40"/>
      <c r="S22" s="40"/>
      <c r="T22" s="40"/>
      <c r="U22" s="40"/>
      <c r="V22" s="40"/>
    </row>
  </sheetData>
  <mergeCells count="1">
    <mergeCell ref="E5:F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408FF-54E7-48CD-AEFD-335D43F74519}">
  <sheetPr codeName="Sheet3"/>
  <dimension ref="A1:W25"/>
  <sheetViews>
    <sheetView zoomScaleNormal="100" workbookViewId="0">
      <selection activeCell="H13" sqref="H12:H13"/>
    </sheetView>
  </sheetViews>
  <sheetFormatPr defaultRowHeight="14.4" x14ac:dyDescent="0.3"/>
  <cols>
    <col min="1" max="1" width="33.77734375" bestFit="1" customWidth="1"/>
    <col min="2" max="2" width="9.44140625" customWidth="1"/>
    <col min="3" max="23" width="14.77734375" customWidth="1"/>
  </cols>
  <sheetData>
    <row r="1" spans="1:23" ht="15.6" x14ac:dyDescent="0.3">
      <c r="A1" s="94" t="s">
        <v>47</v>
      </c>
      <c r="B1" s="95"/>
      <c r="C1" s="67">
        <v>2021</v>
      </c>
      <c r="D1" s="68">
        <v>2022</v>
      </c>
      <c r="E1" s="68">
        <v>2023</v>
      </c>
      <c r="F1" s="68">
        <v>2024</v>
      </c>
      <c r="G1" s="68">
        <v>2025</v>
      </c>
      <c r="H1" s="68">
        <v>2026</v>
      </c>
      <c r="I1" s="68">
        <v>2027</v>
      </c>
      <c r="J1" s="68">
        <v>2028</v>
      </c>
      <c r="K1" s="68">
        <v>2029</v>
      </c>
      <c r="L1" s="68">
        <v>2030</v>
      </c>
      <c r="M1" s="68">
        <v>2031</v>
      </c>
      <c r="N1" s="68">
        <v>2032</v>
      </c>
      <c r="O1" s="68">
        <v>2033</v>
      </c>
      <c r="P1" s="68">
        <v>2034</v>
      </c>
      <c r="Q1" s="68">
        <v>2035</v>
      </c>
      <c r="R1" s="68">
        <v>2036</v>
      </c>
      <c r="S1" s="68">
        <v>2037</v>
      </c>
      <c r="T1" s="68">
        <v>2038</v>
      </c>
      <c r="U1" s="68">
        <v>2039</v>
      </c>
      <c r="V1" s="68">
        <v>2040</v>
      </c>
      <c r="W1" s="68">
        <v>2041</v>
      </c>
    </row>
    <row r="2" spans="1:23" ht="16.2" thickBot="1" x14ac:dyDescent="0.35">
      <c r="A2" s="96" t="s">
        <v>48</v>
      </c>
      <c r="B2" s="97"/>
      <c r="C2" s="69">
        <v>0</v>
      </c>
      <c r="D2" s="70">
        <f>C2+1</f>
        <v>1</v>
      </c>
      <c r="E2" s="70">
        <f t="shared" ref="E2:W2" si="0">D2+1</f>
        <v>2</v>
      </c>
      <c r="F2" s="70">
        <f t="shared" si="0"/>
        <v>3</v>
      </c>
      <c r="G2" s="70">
        <f t="shared" si="0"/>
        <v>4</v>
      </c>
      <c r="H2" s="70">
        <f t="shared" si="0"/>
        <v>5</v>
      </c>
      <c r="I2" s="70">
        <f t="shared" si="0"/>
        <v>6</v>
      </c>
      <c r="J2" s="70">
        <f t="shared" si="0"/>
        <v>7</v>
      </c>
      <c r="K2" s="70">
        <f t="shared" si="0"/>
        <v>8</v>
      </c>
      <c r="L2" s="70">
        <f t="shared" si="0"/>
        <v>9</v>
      </c>
      <c r="M2" s="70">
        <f t="shared" si="0"/>
        <v>10</v>
      </c>
      <c r="N2" s="70">
        <f t="shared" si="0"/>
        <v>11</v>
      </c>
      <c r="O2" s="70">
        <f t="shared" si="0"/>
        <v>12</v>
      </c>
      <c r="P2" s="70">
        <f t="shared" si="0"/>
        <v>13</v>
      </c>
      <c r="Q2" s="70">
        <f t="shared" si="0"/>
        <v>14</v>
      </c>
      <c r="R2" s="70">
        <f t="shared" si="0"/>
        <v>15</v>
      </c>
      <c r="S2" s="70">
        <f t="shared" si="0"/>
        <v>16</v>
      </c>
      <c r="T2" s="70">
        <f t="shared" si="0"/>
        <v>17</v>
      </c>
      <c r="U2" s="70">
        <f t="shared" si="0"/>
        <v>18</v>
      </c>
      <c r="V2" s="70">
        <f t="shared" si="0"/>
        <v>19</v>
      </c>
      <c r="W2" s="70">
        <f t="shared" si="0"/>
        <v>20</v>
      </c>
    </row>
    <row r="3" spans="1:23" ht="15.6" x14ac:dyDescent="0.3">
      <c r="A3" s="71" t="s">
        <v>34</v>
      </c>
      <c r="B3" s="72" t="s">
        <v>27</v>
      </c>
      <c r="C3" s="73">
        <f>Data!C$13*Data!$C$14</f>
        <v>43200</v>
      </c>
      <c r="D3" s="74">
        <f>Data!D$13*Data!$C$14</f>
        <v>44279.999999999993</v>
      </c>
      <c r="E3" s="74">
        <f>Data!E$13*Data!$C$14</f>
        <v>45386.999999999985</v>
      </c>
      <c r="F3" s="74">
        <f>Data!F$13*Data!$C$14</f>
        <v>46521.674999999981</v>
      </c>
      <c r="G3" s="74">
        <f>Data!G$13*Data!$C$14</f>
        <v>47684.716874999976</v>
      </c>
      <c r="H3" s="74">
        <f>Data!H$13*Data!$C$14</f>
        <v>48876.834796874973</v>
      </c>
      <c r="I3" s="74">
        <f>Data!I$13*Data!$C$14</f>
        <v>50098.755666796846</v>
      </c>
      <c r="J3" s="74">
        <f>Data!J$13*Data!$C$14</f>
        <v>51351.224558466754</v>
      </c>
      <c r="K3" s="74">
        <f>Data!K$13*Data!$C$14</f>
        <v>52635.00517242842</v>
      </c>
      <c r="L3" s="74">
        <f>Data!L$13*Data!$C$14</f>
        <v>53950.880301739118</v>
      </c>
      <c r="M3" s="74">
        <f>Data!M$13*Data!$C$14</f>
        <v>55299.652309282588</v>
      </c>
      <c r="N3" s="74">
        <f>Data!N$13*Data!$C$14</f>
        <v>56682.143617014648</v>
      </c>
      <c r="O3" s="74">
        <f>Data!O$13*Data!$C$14</f>
        <v>58099.197207440011</v>
      </c>
      <c r="P3" s="74">
        <f>Data!P$13*Data!$C$14</f>
        <v>59551.677137626008</v>
      </c>
      <c r="Q3" s="74">
        <f>Data!Q$13*Data!$C$14</f>
        <v>61040.469066066646</v>
      </c>
      <c r="R3" s="74">
        <f>Data!R$13*Data!$C$14</f>
        <v>62566.480792718314</v>
      </c>
      <c r="S3" s="74">
        <f>Data!S$13*Data!$C$14</f>
        <v>64130.642812536265</v>
      </c>
      <c r="T3" s="74">
        <f>Data!T$13*Data!$C$14</f>
        <v>65733.908882849661</v>
      </c>
      <c r="U3" s="74">
        <f>Data!U$13*Data!$C$14</f>
        <v>67377.256604920898</v>
      </c>
      <c r="V3" s="74">
        <f>Data!V$13*Data!$C$14</f>
        <v>69061.688020043919</v>
      </c>
      <c r="W3" s="74">
        <f>Data!W$13*Data!$C$14</f>
        <v>70788.230220545011</v>
      </c>
    </row>
    <row r="4" spans="1:23" ht="16.2" thickBot="1" x14ac:dyDescent="0.35">
      <c r="A4" s="75" t="s">
        <v>25</v>
      </c>
      <c r="B4" s="76" t="s">
        <v>27</v>
      </c>
      <c r="C4" s="77">
        <f>Data!C15</f>
        <v>2000</v>
      </c>
      <c r="D4" s="78">
        <f>C4*(1+Data!$B$4)</f>
        <v>2050</v>
      </c>
      <c r="E4" s="78">
        <f>D4*(1+Data!$B$4)</f>
        <v>2101.25</v>
      </c>
      <c r="F4" s="78">
        <f>E4*(1+Data!$B$4)</f>
        <v>2153.78125</v>
      </c>
      <c r="G4" s="78">
        <f>F4*(1+Data!$B$4)</f>
        <v>2207.6257812499998</v>
      </c>
      <c r="H4" s="78">
        <f>G4*(1+Data!$B$4)</f>
        <v>2262.8164257812496</v>
      </c>
      <c r="I4" s="78">
        <f>H4*(1+Data!$B$4)</f>
        <v>2319.3868364257805</v>
      </c>
      <c r="J4" s="78">
        <f>I4*(1+Data!$B$4)</f>
        <v>2377.3715073364247</v>
      </c>
      <c r="K4" s="78">
        <f>J4*(1+Data!$B$4)</f>
        <v>2436.8057950198349</v>
      </c>
      <c r="L4" s="78">
        <f>K4*(1+Data!$B$4)</f>
        <v>2497.7259398953306</v>
      </c>
      <c r="M4" s="78">
        <f>L4*(1+Data!$B$4)</f>
        <v>2560.1690883927135</v>
      </c>
      <c r="N4" s="78">
        <f>M4*(1+Data!$B$4)</f>
        <v>2624.1733156025311</v>
      </c>
      <c r="O4" s="78">
        <f>N4*(1+Data!$B$4)</f>
        <v>2689.7776484925944</v>
      </c>
      <c r="P4" s="78">
        <f>O4*(1+Data!$B$4)</f>
        <v>2757.0220897049089</v>
      </c>
      <c r="Q4" s="78">
        <f>P4*(1+Data!$B$4)</f>
        <v>2825.9476419475313</v>
      </c>
      <c r="R4" s="78">
        <f>Q4*(1+Data!$B$4)</f>
        <v>2896.5963329962192</v>
      </c>
      <c r="S4" s="78">
        <f>R4*(1+Data!$B$4)</f>
        <v>2969.0112413211245</v>
      </c>
      <c r="T4" s="78">
        <f>S4*(1+Data!$B$4)</f>
        <v>3043.2365223541524</v>
      </c>
      <c r="U4" s="78">
        <f>T4*(1+Data!$B$4)</f>
        <v>3119.317435413006</v>
      </c>
      <c r="V4" s="78">
        <f>U4*(1+Data!$B$4)</f>
        <v>3197.3003712983309</v>
      </c>
      <c r="W4" s="78">
        <f>V4*(1+Data!$B$4)</f>
        <v>3277.2328805807888</v>
      </c>
    </row>
    <row r="5" spans="1:23" ht="15.6" x14ac:dyDescent="0.3">
      <c r="A5" s="71" t="s">
        <v>33</v>
      </c>
      <c r="B5" s="72" t="s">
        <v>1</v>
      </c>
      <c r="C5" s="79">
        <f>Data!$B$2</f>
        <v>240000</v>
      </c>
      <c r="D5" s="80">
        <v>0</v>
      </c>
      <c r="E5" s="80">
        <v>0</v>
      </c>
      <c r="F5" s="80">
        <v>0</v>
      </c>
      <c r="G5" s="80">
        <v>0</v>
      </c>
      <c r="H5" s="80">
        <v>0</v>
      </c>
      <c r="I5" s="80">
        <v>0</v>
      </c>
      <c r="J5" s="80">
        <v>0</v>
      </c>
      <c r="K5" s="80">
        <v>0</v>
      </c>
      <c r="L5" s="80">
        <v>0</v>
      </c>
      <c r="M5" s="80">
        <v>0</v>
      </c>
      <c r="N5" s="80">
        <v>0</v>
      </c>
      <c r="O5" s="80">
        <v>0</v>
      </c>
      <c r="P5" s="80">
        <v>0</v>
      </c>
      <c r="Q5" s="80">
        <v>0</v>
      </c>
      <c r="R5" s="80">
        <v>0</v>
      </c>
      <c r="S5" s="80">
        <v>0</v>
      </c>
      <c r="T5" s="80">
        <v>0</v>
      </c>
      <c r="U5" s="80">
        <v>0</v>
      </c>
      <c r="V5" s="80">
        <v>0</v>
      </c>
      <c r="W5" s="80">
        <v>0</v>
      </c>
    </row>
    <row r="6" spans="1:23" ht="15.6" x14ac:dyDescent="0.3">
      <c r="A6" s="81" t="str">
        <f>CONCATENATE("Own capital (",ROUND(Data!B6*100,1),"%)")</f>
        <v>Own capital (91.7%)</v>
      </c>
      <c r="B6" s="82" t="s">
        <v>1</v>
      </c>
      <c r="C6" s="83">
        <f>C5*Data!$B$6</f>
        <v>220000</v>
      </c>
      <c r="D6" s="84">
        <v>0</v>
      </c>
      <c r="E6" s="84">
        <v>0</v>
      </c>
      <c r="F6" s="84">
        <v>0</v>
      </c>
      <c r="G6" s="84">
        <v>0</v>
      </c>
      <c r="H6" s="84">
        <v>0</v>
      </c>
      <c r="I6" s="84">
        <v>0</v>
      </c>
      <c r="J6" s="84">
        <v>0</v>
      </c>
      <c r="K6" s="84">
        <v>0</v>
      </c>
      <c r="L6" s="84">
        <v>0</v>
      </c>
      <c r="M6" s="84">
        <v>0</v>
      </c>
      <c r="N6" s="84">
        <v>0</v>
      </c>
      <c r="O6" s="84">
        <v>0</v>
      </c>
      <c r="P6" s="84">
        <v>0</v>
      </c>
      <c r="Q6" s="84">
        <v>0</v>
      </c>
      <c r="R6" s="84">
        <v>0</v>
      </c>
      <c r="S6" s="84">
        <v>0</v>
      </c>
      <c r="T6" s="84">
        <v>0</v>
      </c>
      <c r="U6" s="84">
        <v>0</v>
      </c>
      <c r="V6" s="84">
        <v>0</v>
      </c>
      <c r="W6" s="84">
        <v>0</v>
      </c>
    </row>
    <row r="7" spans="1:23" ht="15.6" x14ac:dyDescent="0.3">
      <c r="A7" s="81" t="str">
        <f>CONCATENATE("Borrowed capital (",ROUND(Data!B7*100,1),"%)")</f>
        <v>Borrowed capital (8.3%)</v>
      </c>
      <c r="B7" s="82" t="s">
        <v>1</v>
      </c>
      <c r="C7" s="83">
        <f>C5*Data!$B$7</f>
        <v>20000.000000000007</v>
      </c>
      <c r="D7" s="84">
        <v>0</v>
      </c>
      <c r="E7" s="84">
        <v>0</v>
      </c>
      <c r="F7" s="84">
        <v>0</v>
      </c>
      <c r="G7" s="84">
        <v>0</v>
      </c>
      <c r="H7" s="84">
        <v>0</v>
      </c>
      <c r="I7" s="84">
        <v>0</v>
      </c>
      <c r="J7" s="84">
        <v>0</v>
      </c>
      <c r="K7" s="84">
        <v>0</v>
      </c>
      <c r="L7" s="84">
        <v>0</v>
      </c>
      <c r="M7" s="84">
        <v>0</v>
      </c>
      <c r="N7" s="84">
        <v>0</v>
      </c>
      <c r="O7" s="84">
        <v>0</v>
      </c>
      <c r="P7" s="84">
        <v>0</v>
      </c>
      <c r="Q7" s="84">
        <v>0</v>
      </c>
      <c r="R7" s="84">
        <v>0</v>
      </c>
      <c r="S7" s="84">
        <v>0</v>
      </c>
      <c r="T7" s="84">
        <v>0</v>
      </c>
      <c r="U7" s="84">
        <v>0</v>
      </c>
      <c r="V7" s="84">
        <v>0</v>
      </c>
      <c r="W7" s="84">
        <v>0</v>
      </c>
    </row>
    <row r="8" spans="1:23" ht="15.6" x14ac:dyDescent="0.3">
      <c r="A8" s="81" t="s">
        <v>36</v>
      </c>
      <c r="B8" s="82" t="s">
        <v>27</v>
      </c>
      <c r="C8" s="83">
        <v>0</v>
      </c>
      <c r="D8" s="84">
        <f>IF(SUM($C$8:C8)&lt;$C$7,$C$7/Data!$B$8,0)</f>
        <v>2000.0000000000007</v>
      </c>
      <c r="E8" s="84">
        <f>IF(SUM($C$8:D8)&lt;$C$7,$C$7/Data!$B$8,0)</f>
        <v>2000.0000000000007</v>
      </c>
      <c r="F8" s="84">
        <f>IF(SUM($C$8:E8)&lt;$C$7,$C$7/Data!$B$8,0)</f>
        <v>2000.0000000000007</v>
      </c>
      <c r="G8" s="84">
        <f>IF(SUM($C$8:F8)&lt;$C$7,$C$7/Data!$B$8,0)</f>
        <v>2000.0000000000007</v>
      </c>
      <c r="H8" s="84">
        <f>IF(SUM($C$8:G8)&lt;$C$7,$C$7/Data!$B$8,0)</f>
        <v>2000.0000000000007</v>
      </c>
      <c r="I8" s="84">
        <f>IF(SUM($C$8:H8)&lt;$C$7,$C$7/Data!$B$8,0)</f>
        <v>2000.0000000000007</v>
      </c>
      <c r="J8" s="84">
        <f>IF(SUM($C$8:I8)&lt;$C$7,$C$7/Data!$B$8,0)</f>
        <v>2000.0000000000007</v>
      </c>
      <c r="K8" s="84">
        <f>IF(SUM($C$8:J8)&lt;$C$7,$C$7/Data!$B$8,0)</f>
        <v>2000.0000000000007</v>
      </c>
      <c r="L8" s="84">
        <f>IF(SUM($C$8:K8)&lt;$C$7,$C$7/Data!$B$8,0)</f>
        <v>2000.0000000000007</v>
      </c>
      <c r="M8" s="84">
        <f>IF(SUM($C$8:L8)&lt;$C$7,$C$7/Data!$B$8,0)</f>
        <v>2000.0000000000007</v>
      </c>
      <c r="N8" s="84">
        <f>IF(SUM($C$8:M8)&lt;$C$7,$C$7/Data!$B$8,0)</f>
        <v>0</v>
      </c>
      <c r="O8" s="84">
        <f>IF(SUM($C$8:N8)&lt;$C$7,$C$7/Data!$B$8,0)</f>
        <v>0</v>
      </c>
      <c r="P8" s="84">
        <f>IF(SUM($C$8:O8)&lt;$C$7,$C$7/Data!$B$8,0)</f>
        <v>0</v>
      </c>
      <c r="Q8" s="84">
        <f>IF(SUM($C$8:P8)&lt;$C$7,$C$7/Data!$B$8,0)</f>
        <v>0</v>
      </c>
      <c r="R8" s="84">
        <f>IF(SUM($C$8:Q8)&lt;$C$7,$C$7/Data!$B$8,0)</f>
        <v>0</v>
      </c>
      <c r="S8" s="84">
        <f>IF(SUM($C$8:R8)&lt;$C$7,$C$7/Data!$B$8,0)</f>
        <v>0</v>
      </c>
      <c r="T8" s="84">
        <f>IF(SUM($C$8:S8)&lt;$C$7,$C$7/Data!$B$8,0)</f>
        <v>0</v>
      </c>
      <c r="U8" s="84">
        <f>IF(SUM($C$8:T8)&lt;$C$7,$C$7/Data!$B$8,0)</f>
        <v>0</v>
      </c>
      <c r="V8" s="84">
        <f>IF(SUM($C$8:U8)&lt;$C$7,$C$7/Data!$B$8,0)</f>
        <v>0</v>
      </c>
      <c r="W8" s="84">
        <f>IF(SUM($C$8:V8)&lt;$C$7,$C$7/Data!$B$8,0)</f>
        <v>0</v>
      </c>
    </row>
    <row r="9" spans="1:23" ht="15.6" x14ac:dyDescent="0.3">
      <c r="A9" s="81" t="s">
        <v>37</v>
      </c>
      <c r="B9" s="82" t="s">
        <v>27</v>
      </c>
      <c r="C9" s="83">
        <f>$C$7-C8</f>
        <v>20000.000000000007</v>
      </c>
      <c r="D9" s="84">
        <f>C9-D8</f>
        <v>18000.000000000007</v>
      </c>
      <c r="E9" s="84">
        <f t="shared" ref="E9:W9" si="1">D9-E8</f>
        <v>16000.000000000007</v>
      </c>
      <c r="F9" s="84">
        <f t="shared" si="1"/>
        <v>14000.000000000007</v>
      </c>
      <c r="G9" s="84">
        <f t="shared" si="1"/>
        <v>12000.000000000007</v>
      </c>
      <c r="H9" s="84">
        <f t="shared" si="1"/>
        <v>10000.000000000007</v>
      </c>
      <c r="I9" s="84">
        <f t="shared" si="1"/>
        <v>8000.0000000000064</v>
      </c>
      <c r="J9" s="84">
        <f t="shared" si="1"/>
        <v>6000.0000000000055</v>
      </c>
      <c r="K9" s="84">
        <f t="shared" si="1"/>
        <v>4000.0000000000045</v>
      </c>
      <c r="L9" s="84">
        <f t="shared" si="1"/>
        <v>2000.0000000000039</v>
      </c>
      <c r="M9" s="84">
        <f t="shared" si="1"/>
        <v>3.1832314562052488E-12</v>
      </c>
      <c r="N9" s="84">
        <f t="shared" si="1"/>
        <v>3.1832314562052488E-12</v>
      </c>
      <c r="O9" s="84">
        <f t="shared" si="1"/>
        <v>3.1832314562052488E-12</v>
      </c>
      <c r="P9" s="84">
        <f t="shared" si="1"/>
        <v>3.1832314562052488E-12</v>
      </c>
      <c r="Q9" s="84">
        <f t="shared" si="1"/>
        <v>3.1832314562052488E-12</v>
      </c>
      <c r="R9" s="84">
        <f t="shared" si="1"/>
        <v>3.1832314562052488E-12</v>
      </c>
      <c r="S9" s="84">
        <f t="shared" si="1"/>
        <v>3.1832314562052488E-12</v>
      </c>
      <c r="T9" s="84">
        <f t="shared" si="1"/>
        <v>3.1832314562052488E-12</v>
      </c>
      <c r="U9" s="84">
        <f t="shared" si="1"/>
        <v>3.1832314562052488E-12</v>
      </c>
      <c r="V9" s="84">
        <f t="shared" si="1"/>
        <v>3.1832314562052488E-12</v>
      </c>
      <c r="W9" s="84">
        <f t="shared" si="1"/>
        <v>3.1832314562052488E-12</v>
      </c>
    </row>
    <row r="10" spans="1:23" ht="15.6" x14ac:dyDescent="0.3">
      <c r="A10" s="81" t="s">
        <v>38</v>
      </c>
      <c r="B10" s="82" t="s">
        <v>27</v>
      </c>
      <c r="C10" s="83">
        <v>0</v>
      </c>
      <c r="D10" s="84">
        <v>0</v>
      </c>
      <c r="E10" s="84">
        <v>0</v>
      </c>
      <c r="F10" s="84">
        <v>0</v>
      </c>
      <c r="G10" s="84">
        <v>0</v>
      </c>
      <c r="H10" s="84">
        <v>0</v>
      </c>
      <c r="I10" s="84">
        <v>0</v>
      </c>
      <c r="J10" s="84">
        <v>0</v>
      </c>
      <c r="K10" s="84">
        <v>0</v>
      </c>
      <c r="L10" s="84">
        <v>0</v>
      </c>
      <c r="M10" s="84">
        <v>0</v>
      </c>
      <c r="N10" s="84">
        <v>0</v>
      </c>
      <c r="O10" s="84">
        <v>0</v>
      </c>
      <c r="P10" s="84">
        <v>0</v>
      </c>
      <c r="Q10" s="84">
        <v>0</v>
      </c>
      <c r="R10" s="84">
        <v>0</v>
      </c>
      <c r="S10" s="84">
        <v>0</v>
      </c>
      <c r="T10" s="84">
        <v>0</v>
      </c>
      <c r="U10" s="84">
        <v>0</v>
      </c>
      <c r="V10" s="84">
        <v>0</v>
      </c>
      <c r="W10" s="84">
        <v>0</v>
      </c>
    </row>
    <row r="11" spans="1:23" ht="15.6" x14ac:dyDescent="0.3">
      <c r="A11" s="81" t="s">
        <v>39</v>
      </c>
      <c r="B11" s="82" t="s">
        <v>27</v>
      </c>
      <c r="C11" s="83">
        <v>0</v>
      </c>
      <c r="D11" s="84">
        <v>24000</v>
      </c>
      <c r="E11" s="84">
        <v>24000</v>
      </c>
      <c r="F11" s="84">
        <v>24000</v>
      </c>
      <c r="G11" s="84">
        <v>24000</v>
      </c>
      <c r="H11" s="84">
        <v>24000</v>
      </c>
      <c r="I11" s="84">
        <v>24000</v>
      </c>
      <c r="J11" s="84">
        <v>24000</v>
      </c>
      <c r="K11" s="84">
        <v>24000</v>
      </c>
      <c r="L11" s="84">
        <v>24000</v>
      </c>
      <c r="M11" s="84">
        <v>24000</v>
      </c>
      <c r="N11" s="84">
        <v>0</v>
      </c>
      <c r="O11" s="84">
        <v>0</v>
      </c>
      <c r="P11" s="84">
        <v>0</v>
      </c>
      <c r="Q11" s="84">
        <v>0</v>
      </c>
      <c r="R11" s="84">
        <v>0</v>
      </c>
      <c r="S11" s="84">
        <v>0</v>
      </c>
      <c r="T11" s="84">
        <v>0</v>
      </c>
      <c r="U11" s="84">
        <v>0</v>
      </c>
      <c r="V11" s="84">
        <v>0</v>
      </c>
      <c r="W11" s="84">
        <v>0</v>
      </c>
    </row>
    <row r="12" spans="1:23" ht="15.6" x14ac:dyDescent="0.3">
      <c r="A12" s="81" t="s">
        <v>40</v>
      </c>
      <c r="B12" s="82" t="s">
        <v>27</v>
      </c>
      <c r="C12" s="83">
        <v>0</v>
      </c>
      <c r="D12" s="84">
        <f>D3</f>
        <v>44279.999999999993</v>
      </c>
      <c r="E12" s="84">
        <f t="shared" ref="E12:W13" si="2">E3</f>
        <v>45386.999999999985</v>
      </c>
      <c r="F12" s="84">
        <f t="shared" si="2"/>
        <v>46521.674999999981</v>
      </c>
      <c r="G12" s="84">
        <f t="shared" si="2"/>
        <v>47684.716874999976</v>
      </c>
      <c r="H12" s="84">
        <f t="shared" si="2"/>
        <v>48876.834796874973</v>
      </c>
      <c r="I12" s="84">
        <f t="shared" si="2"/>
        <v>50098.755666796846</v>
      </c>
      <c r="J12" s="84">
        <f t="shared" si="2"/>
        <v>51351.224558466754</v>
      </c>
      <c r="K12" s="84">
        <f t="shared" si="2"/>
        <v>52635.00517242842</v>
      </c>
      <c r="L12" s="84">
        <f t="shared" si="2"/>
        <v>53950.880301739118</v>
      </c>
      <c r="M12" s="84">
        <f t="shared" si="2"/>
        <v>55299.652309282588</v>
      </c>
      <c r="N12" s="84">
        <f t="shared" si="2"/>
        <v>56682.143617014648</v>
      </c>
      <c r="O12" s="84">
        <f t="shared" si="2"/>
        <v>58099.197207440011</v>
      </c>
      <c r="P12" s="84">
        <f t="shared" si="2"/>
        <v>59551.677137626008</v>
      </c>
      <c r="Q12" s="84">
        <f t="shared" si="2"/>
        <v>61040.469066066646</v>
      </c>
      <c r="R12" s="84">
        <f t="shared" si="2"/>
        <v>62566.480792718314</v>
      </c>
      <c r="S12" s="84">
        <f t="shared" si="2"/>
        <v>64130.642812536265</v>
      </c>
      <c r="T12" s="84">
        <f t="shared" si="2"/>
        <v>65733.908882849661</v>
      </c>
      <c r="U12" s="84">
        <f t="shared" si="2"/>
        <v>67377.256604920898</v>
      </c>
      <c r="V12" s="84">
        <f t="shared" si="2"/>
        <v>69061.688020043919</v>
      </c>
      <c r="W12" s="84">
        <f t="shared" si="2"/>
        <v>70788.230220545011</v>
      </c>
    </row>
    <row r="13" spans="1:23" ht="15.6" x14ac:dyDescent="0.3">
      <c r="A13" s="81" t="s">
        <v>41</v>
      </c>
      <c r="B13" s="82" t="s">
        <v>27</v>
      </c>
      <c r="C13" s="83">
        <v>0</v>
      </c>
      <c r="D13" s="84">
        <f>D4</f>
        <v>2050</v>
      </c>
      <c r="E13" s="84">
        <f t="shared" si="2"/>
        <v>2101.25</v>
      </c>
      <c r="F13" s="84">
        <f t="shared" si="2"/>
        <v>2153.78125</v>
      </c>
      <c r="G13" s="84">
        <f t="shared" si="2"/>
        <v>2207.6257812499998</v>
      </c>
      <c r="H13" s="84">
        <f t="shared" si="2"/>
        <v>2262.8164257812496</v>
      </c>
      <c r="I13" s="84">
        <f t="shared" si="2"/>
        <v>2319.3868364257805</v>
      </c>
      <c r="J13" s="84">
        <f t="shared" si="2"/>
        <v>2377.3715073364247</v>
      </c>
      <c r="K13" s="84">
        <f t="shared" si="2"/>
        <v>2436.8057950198349</v>
      </c>
      <c r="L13" s="84">
        <f t="shared" si="2"/>
        <v>2497.7259398953306</v>
      </c>
      <c r="M13" s="84">
        <f t="shared" si="2"/>
        <v>2560.1690883927135</v>
      </c>
      <c r="N13" s="84">
        <f t="shared" si="2"/>
        <v>2624.1733156025311</v>
      </c>
      <c r="O13" s="84">
        <f t="shared" si="2"/>
        <v>2689.7776484925944</v>
      </c>
      <c r="P13" s="84">
        <f t="shared" si="2"/>
        <v>2757.0220897049089</v>
      </c>
      <c r="Q13" s="84">
        <f t="shared" si="2"/>
        <v>2825.9476419475313</v>
      </c>
      <c r="R13" s="84">
        <f t="shared" si="2"/>
        <v>2896.5963329962192</v>
      </c>
      <c r="S13" s="84">
        <f t="shared" si="2"/>
        <v>2969.0112413211245</v>
      </c>
      <c r="T13" s="84">
        <f t="shared" si="2"/>
        <v>3043.2365223541524</v>
      </c>
      <c r="U13" s="84">
        <f t="shared" si="2"/>
        <v>3119.317435413006</v>
      </c>
      <c r="V13" s="84">
        <f t="shared" si="2"/>
        <v>3197.3003712983309</v>
      </c>
      <c r="W13" s="84">
        <f t="shared" si="2"/>
        <v>3277.2328805807888</v>
      </c>
    </row>
    <row r="14" spans="1:23" ht="16.2" thickBot="1" x14ac:dyDescent="0.35">
      <c r="A14" s="75" t="s">
        <v>42</v>
      </c>
      <c r="B14" s="76" t="s">
        <v>27</v>
      </c>
      <c r="C14" s="85">
        <f>IF((C12-C13-C10-C11)&lt;0,0,(C12-C13-C10-C11)*Data!$B$10)</f>
        <v>0</v>
      </c>
      <c r="D14" s="86">
        <f>IF((D12-D13-D10-D11)&lt;0,0,(D12-D13-D10-D11)*Data!$B$10)</f>
        <v>3463.6999999999985</v>
      </c>
      <c r="E14" s="86">
        <f>IF((E12-E13-E10-E11)&lt;0,0,(E12-E13-E10-E11)*Data!$B$10)</f>
        <v>3664.2924999999973</v>
      </c>
      <c r="F14" s="86">
        <f>IF((F12-F13-F10-F11)&lt;0,0,(F12-F13-F10-F11)*Data!$B$10)</f>
        <v>3869.8998124999966</v>
      </c>
      <c r="G14" s="86">
        <f>IF((G12-G13-G10-G11)&lt;0,0,(G12-G13-G10-G11)*Data!$B$10)</f>
        <v>4080.6473078124959</v>
      </c>
      <c r="H14" s="86">
        <f>IF((H12-H13-H10-H11)&lt;0,0,(H12-H13-H10-H11)*Data!$B$10)</f>
        <v>4296.6634905078081</v>
      </c>
      <c r="I14" s="86">
        <f>IF((I12-I13-I10-I11)&lt;0,0,(I12-I13-I10-I11)*Data!$B$10)</f>
        <v>4518.0800777705026</v>
      </c>
      <c r="J14" s="86">
        <f>IF((J12-J13-J10-J11)&lt;0,0,(J12-J13-J10-J11)*Data!$B$10)</f>
        <v>4745.0320797147633</v>
      </c>
      <c r="K14" s="86">
        <f>IF((K12-K13-K10-K11)&lt;0,0,(K12-K13-K10-K11)*Data!$B$10)</f>
        <v>4977.6578817076315</v>
      </c>
      <c r="L14" s="86">
        <f>IF((L12-L13-L10-L11)&lt;0,0,(L12-L13-L10-L11)*Data!$B$10)</f>
        <v>5216.0993287503197</v>
      </c>
      <c r="M14" s="86">
        <f>IF((M12-M13-M10-M11)&lt;0,0,(M12-M13-M10-M11)*Data!$B$10)</f>
        <v>5460.5018119690758</v>
      </c>
      <c r="N14" s="86">
        <f>IF((N12-N13-N10-N11)&lt;0,0,(N12-N13-N10-N11)*Data!$B$10)</f>
        <v>10271.014357268303</v>
      </c>
      <c r="O14" s="86">
        <f>IF((O12-O13-O10-O11)&lt;0,0,(O12-O13-O10-O11)*Data!$B$10)</f>
        <v>10527.78971620001</v>
      </c>
      <c r="P14" s="86">
        <f>IF((P12-P13-P10-P11)&lt;0,0,(P12-P13-P10-P11)*Data!$B$10)</f>
        <v>10790.98445910501</v>
      </c>
      <c r="Q14" s="86">
        <f>IF((Q12-Q13-Q10-Q11)&lt;0,0,(Q12-Q13-Q10-Q11)*Data!$B$10)</f>
        <v>11060.759070582631</v>
      </c>
      <c r="R14" s="86">
        <f>IF((R12-R13-R10-R11)&lt;0,0,(R12-R13-R10-R11)*Data!$B$10)</f>
        <v>11337.278047347198</v>
      </c>
      <c r="S14" s="86">
        <f>IF((S12-S13-S10-S11)&lt;0,0,(S12-S13-S10-S11)*Data!$B$10)</f>
        <v>11620.709998530878</v>
      </c>
      <c r="T14" s="86">
        <f>IF((T12-T13-T10-T11)&lt;0,0,(T12-T13-T10-T11)*Data!$B$10)</f>
        <v>11911.227748494148</v>
      </c>
      <c r="U14" s="86">
        <f>IF((U12-U13-U10-U11)&lt;0,0,(U12-U13-U10-U11)*Data!$B$10)</f>
        <v>12209.008442206501</v>
      </c>
      <c r="V14" s="86">
        <f>IF((V12-V13-V10-V11)&lt;0,0,(V12-V13-V10-V11)*Data!$B$10)</f>
        <v>12514.233653261661</v>
      </c>
      <c r="W14" s="86">
        <f>IF((W12-W13-W10-W11)&lt;0,0,(W12-W13-W10-W11)*Data!$B$10)</f>
        <v>12827.089494593201</v>
      </c>
    </row>
    <row r="15" spans="1:23" ht="15.6" x14ac:dyDescent="0.3">
      <c r="A15" s="71" t="s">
        <v>43</v>
      </c>
      <c r="B15" s="72" t="s">
        <v>27</v>
      </c>
      <c r="C15" s="79">
        <f t="shared" ref="C15:W15" si="3">C12+C7-C5-C13-C14-C10-C8</f>
        <v>-220000</v>
      </c>
      <c r="D15" s="80">
        <f>D12+D7-D5-D13-D14-D10-D8</f>
        <v>36766.299999999996</v>
      </c>
      <c r="E15" s="80">
        <f t="shared" si="3"/>
        <v>37621.45749999999</v>
      </c>
      <c r="F15" s="80">
        <f t="shared" si="3"/>
        <v>38497.993937499981</v>
      </c>
      <c r="G15" s="80">
        <f t="shared" si="3"/>
        <v>39396.443785937481</v>
      </c>
      <c r="H15" s="80">
        <f t="shared" si="3"/>
        <v>40317.354880585917</v>
      </c>
      <c r="I15" s="80">
        <f t="shared" si="3"/>
        <v>41261.288752600565</v>
      </c>
      <c r="J15" s="80">
        <f t="shared" si="3"/>
        <v>42228.820971415567</v>
      </c>
      <c r="K15" s="80">
        <f t="shared" si="3"/>
        <v>43220.541495700956</v>
      </c>
      <c r="L15" s="80">
        <f t="shared" si="3"/>
        <v>44237.055033093464</v>
      </c>
      <c r="M15" s="80">
        <f t="shared" si="3"/>
        <v>45278.981408920794</v>
      </c>
      <c r="N15" s="80">
        <f t="shared" si="3"/>
        <v>43786.955944143818</v>
      </c>
      <c r="O15" s="80">
        <f t="shared" si="3"/>
        <v>44881.62984274741</v>
      </c>
      <c r="P15" s="80">
        <f t="shared" si="3"/>
        <v>46003.670588816094</v>
      </c>
      <c r="Q15" s="80">
        <f t="shared" si="3"/>
        <v>47153.762353536484</v>
      </c>
      <c r="R15" s="80">
        <f t="shared" si="3"/>
        <v>48332.606412374895</v>
      </c>
      <c r="S15" s="80">
        <f t="shared" si="3"/>
        <v>49540.921572684267</v>
      </c>
      <c r="T15" s="80">
        <f t="shared" si="3"/>
        <v>50779.44461200136</v>
      </c>
      <c r="U15" s="80">
        <f t="shared" si="3"/>
        <v>52048.930727301398</v>
      </c>
      <c r="V15" s="80">
        <f t="shared" si="3"/>
        <v>53350.153995483925</v>
      </c>
      <c r="W15" s="80">
        <f t="shared" si="3"/>
        <v>54683.907845371017</v>
      </c>
    </row>
    <row r="16" spans="1:23" ht="15.6" x14ac:dyDescent="0.3">
      <c r="A16" s="81" t="s">
        <v>44</v>
      </c>
      <c r="B16" s="82" t="s">
        <v>27</v>
      </c>
      <c r="C16" s="83">
        <f>C15/((1+Data!$B$5)^C2)</f>
        <v>-220000</v>
      </c>
      <c r="D16" s="84">
        <f>D15/((1+Data!$B$5)^D2)</f>
        <v>33423.909090909081</v>
      </c>
      <c r="E16" s="84">
        <f>E15/((1+Data!$B$5)^E2)</f>
        <v>31092.113636363621</v>
      </c>
      <c r="F16" s="84">
        <f>F15/((1+Data!$B$5)^F2)</f>
        <v>28924.112650262938</v>
      </c>
      <c r="G16" s="84">
        <f>G15/((1+Data!$B$5)^G2)</f>
        <v>26908.301199328918</v>
      </c>
      <c r="H16" s="84">
        <f>H15/((1+Data!$B$5)^H2)</f>
        <v>25033.905334698888</v>
      </c>
      <c r="I16" s="84">
        <f>I15/((1+Data!$B$5)^I2)</f>
        <v>23290.921821264154</v>
      </c>
      <c r="J16" s="84">
        <f>J15/((1+Data!$B$5)^J2)</f>
        <v>21670.062304793006</v>
      </c>
      <c r="K16" s="84">
        <f>K15/((1+Data!$B$5)^K2)</f>
        <v>20162.701584405517</v>
      </c>
      <c r="L16" s="84">
        <f>L15/((1+Data!$B$5)^L2)</f>
        <v>18760.829683347474</v>
      </c>
      <c r="M16" s="84">
        <f>M15/((1+Data!$B$5)^M2)</f>
        <v>17457.007434413925</v>
      </c>
      <c r="N16" s="84">
        <f>N15/((1+Data!$B$5)^N2)</f>
        <v>15347.060935282892</v>
      </c>
      <c r="O16" s="84">
        <f>O15/((1+Data!$B$5)^O2)</f>
        <v>14300.670416968149</v>
      </c>
      <c r="P16" s="84">
        <f>P15/((1+Data!$B$5)^P2)</f>
        <v>13325.62470672032</v>
      </c>
      <c r="Q16" s="84">
        <f>Q15/((1+Data!$B$5)^Q2)</f>
        <v>12417.059385807564</v>
      </c>
      <c r="R16" s="84">
        <f>R15/((1+Data!$B$5)^R2)</f>
        <v>11570.441700411595</v>
      </c>
      <c r="S16" s="84">
        <f>S15/((1+Data!$B$5)^S2)</f>
        <v>10781.547948110803</v>
      </c>
      <c r="T16" s="84">
        <f>T15/((1+Data!$B$5)^T2)</f>
        <v>10046.442406194155</v>
      </c>
      <c r="U16" s="84">
        <f>U15/((1+Data!$B$5)^U2)</f>
        <v>9361.4576966809163</v>
      </c>
      <c r="V16" s="84">
        <f>V15/((1+Data!$B$5)^V2)</f>
        <v>8723.1764900890321</v>
      </c>
      <c r="W16" s="84">
        <f>W15/((1+Data!$B$5)^W2)</f>
        <v>8128.4144566738714</v>
      </c>
    </row>
    <row r="17" spans="1:23" ht="15.6" x14ac:dyDescent="0.3">
      <c r="A17" s="81" t="s">
        <v>6</v>
      </c>
      <c r="B17" s="82" t="s">
        <v>1</v>
      </c>
      <c r="C17" s="83">
        <f>SUM($C$16:C16)</f>
        <v>-220000</v>
      </c>
      <c r="D17" s="84">
        <f>SUM($C$16:D16)</f>
        <v>-186576.09090909091</v>
      </c>
      <c r="E17" s="84">
        <f>SUM($C$16:E16)</f>
        <v>-155483.97727272729</v>
      </c>
      <c r="F17" s="84">
        <f>SUM($C$16:F16)</f>
        <v>-126559.86462246436</v>
      </c>
      <c r="G17" s="84">
        <f>SUM($C$16:G16)</f>
        <v>-99651.563423135434</v>
      </c>
      <c r="H17" s="84">
        <f>SUM($C$16:H16)</f>
        <v>-74617.658088436554</v>
      </c>
      <c r="I17" s="84">
        <f>SUM($C$16:I16)</f>
        <v>-51326.736267172397</v>
      </c>
      <c r="J17" s="84">
        <f>SUM($C$16:J16)</f>
        <v>-29656.673962379391</v>
      </c>
      <c r="K17" s="84">
        <f>SUM($C$16:K16)</f>
        <v>-9493.9723779738742</v>
      </c>
      <c r="L17" s="84">
        <f>SUM($C$16:L16)</f>
        <v>9266.8573053736</v>
      </c>
      <c r="M17" s="84">
        <f>SUM($C$16:M16)</f>
        <v>26723.864739787525</v>
      </c>
      <c r="N17" s="84">
        <f>SUM($C$16:N16)</f>
        <v>42070.925675070415</v>
      </c>
      <c r="O17" s="84">
        <f>SUM($C$16:O16)</f>
        <v>56371.596092038562</v>
      </c>
      <c r="P17" s="84">
        <f>SUM($C$16:P16)</f>
        <v>69697.220798758877</v>
      </c>
      <c r="Q17" s="84">
        <f>SUM($C$16:Q16)</f>
        <v>82114.280184566436</v>
      </c>
      <c r="R17" s="84">
        <f>SUM($C$16:R16)</f>
        <v>93684.721884978033</v>
      </c>
      <c r="S17" s="84">
        <f>SUM($C$16:S16)</f>
        <v>104466.26983308884</v>
      </c>
      <c r="T17" s="84">
        <f>SUM($C$16:T16)</f>
        <v>114512.71223928299</v>
      </c>
      <c r="U17" s="84">
        <f>SUM($C$16:U16)</f>
        <v>123874.1699359639</v>
      </c>
      <c r="V17" s="84">
        <f>SUM($C$16:V16)</f>
        <v>132597.34642605294</v>
      </c>
      <c r="W17" s="84">
        <f>SUM($C$16:W16)</f>
        <v>140725.76088272681</v>
      </c>
    </row>
    <row r="18" spans="1:23" ht="15.6" x14ac:dyDescent="0.3">
      <c r="A18" s="87" t="s">
        <v>6</v>
      </c>
      <c r="B18" s="88"/>
      <c r="C18" s="89">
        <f>W17</f>
        <v>140725.76088272681</v>
      </c>
      <c r="D18" s="84"/>
      <c r="E18" s="84"/>
      <c r="F18" s="84"/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4"/>
      <c r="R18" s="84"/>
      <c r="S18" s="84"/>
      <c r="T18" s="84"/>
      <c r="U18" s="84"/>
      <c r="V18" s="84"/>
      <c r="W18" s="84"/>
    </row>
    <row r="19" spans="1:23" ht="15.6" x14ac:dyDescent="0.3">
      <c r="A19" s="87" t="s">
        <v>7</v>
      </c>
      <c r="B19" s="88"/>
      <c r="C19" s="89">
        <f>IRR(C15:W15,0)*100</f>
        <v>17.912920002922682</v>
      </c>
      <c r="D19" s="84"/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  <c r="W19" s="84"/>
    </row>
    <row r="20" spans="1:23" ht="15.6" x14ac:dyDescent="0.3">
      <c r="A20" s="81" t="s">
        <v>45</v>
      </c>
      <c r="B20" s="82"/>
      <c r="C20" s="83">
        <v>0</v>
      </c>
      <c r="D20" s="84">
        <f t="shared" ref="D20:W20" si="4">IF(C17*D17&lt;0,D2-D17/(ABS(C17)+D17),0)</f>
        <v>0</v>
      </c>
      <c r="E20" s="84">
        <f t="shared" si="4"/>
        <v>0</v>
      </c>
      <c r="F20" s="84">
        <f t="shared" si="4"/>
        <v>0</v>
      </c>
      <c r="G20" s="84">
        <f t="shared" si="4"/>
        <v>0</v>
      </c>
      <c r="H20" s="84">
        <f t="shared" si="4"/>
        <v>0</v>
      </c>
      <c r="I20" s="84">
        <f t="shared" si="4"/>
        <v>0</v>
      </c>
      <c r="J20" s="84">
        <f t="shared" si="4"/>
        <v>0</v>
      </c>
      <c r="K20" s="84">
        <f t="shared" si="4"/>
        <v>0</v>
      </c>
      <c r="L20" s="84">
        <f t="shared" si="4"/>
        <v>8.5060529058797929</v>
      </c>
      <c r="M20" s="84">
        <f t="shared" si="4"/>
        <v>0</v>
      </c>
      <c r="N20" s="84">
        <f t="shared" si="4"/>
        <v>0</v>
      </c>
      <c r="O20" s="84">
        <f t="shared" si="4"/>
        <v>0</v>
      </c>
      <c r="P20" s="84">
        <f t="shared" si="4"/>
        <v>0</v>
      </c>
      <c r="Q20" s="84">
        <f t="shared" si="4"/>
        <v>0</v>
      </c>
      <c r="R20" s="84">
        <f t="shared" si="4"/>
        <v>0</v>
      </c>
      <c r="S20" s="84">
        <f t="shared" si="4"/>
        <v>0</v>
      </c>
      <c r="T20" s="84">
        <f t="shared" si="4"/>
        <v>0</v>
      </c>
      <c r="U20" s="84">
        <f t="shared" si="4"/>
        <v>0</v>
      </c>
      <c r="V20" s="84">
        <f t="shared" si="4"/>
        <v>0</v>
      </c>
      <c r="W20" s="84">
        <f t="shared" si="4"/>
        <v>0</v>
      </c>
    </row>
    <row r="21" spans="1:23" ht="15.6" x14ac:dyDescent="0.3">
      <c r="A21" s="87" t="s">
        <v>10</v>
      </c>
      <c r="B21" s="88" t="s">
        <v>56</v>
      </c>
      <c r="C21" s="89">
        <f>IF(MAX(C20:W20)&gt;0,MAX(C20:W20),"No return")</f>
        <v>8.5060529058797929</v>
      </c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</row>
    <row r="22" spans="1:23" ht="15.6" x14ac:dyDescent="0.3">
      <c r="A22" s="81" t="s">
        <v>46</v>
      </c>
      <c r="B22" s="82"/>
      <c r="C22" s="83">
        <f>SUM($C$15:C15)</f>
        <v>-220000</v>
      </c>
      <c r="D22" s="84">
        <f>SUM($C$15:D15)</f>
        <v>-183233.7</v>
      </c>
      <c r="E22" s="84">
        <f>SUM($C$15:E15)</f>
        <v>-145612.24250000002</v>
      </c>
      <c r="F22" s="84">
        <f>SUM($C$15:F15)</f>
        <v>-107114.24856250004</v>
      </c>
      <c r="G22" s="84">
        <f>SUM($C$15:G15)</f>
        <v>-67717.804776562552</v>
      </c>
      <c r="H22" s="84">
        <f>SUM($C$15:H15)</f>
        <v>-27400.449895976635</v>
      </c>
      <c r="I22" s="84">
        <f>SUM($C$15:I15)</f>
        <v>13860.83885662393</v>
      </c>
      <c r="J22" s="84">
        <f>SUM($C$15:J15)</f>
        <v>56089.659828039497</v>
      </c>
      <c r="K22" s="84">
        <f>SUM($C$15:K15)</f>
        <v>99310.201323740446</v>
      </c>
      <c r="L22" s="84">
        <f>SUM($C$15:L15)</f>
        <v>143547.25635683391</v>
      </c>
      <c r="M22" s="84">
        <f>SUM($C$15:M15)</f>
        <v>188826.23776575469</v>
      </c>
      <c r="N22" s="84">
        <f>SUM($C$15:N15)</f>
        <v>232613.19370989851</v>
      </c>
      <c r="O22" s="84">
        <f>SUM($C$15:O15)</f>
        <v>277494.82355264592</v>
      </c>
      <c r="P22" s="84">
        <f>SUM($C$15:P15)</f>
        <v>323498.49414146203</v>
      </c>
      <c r="Q22" s="84">
        <f>SUM($C$15:Q15)</f>
        <v>370652.25649499852</v>
      </c>
      <c r="R22" s="84">
        <f>SUM($C$15:R15)</f>
        <v>418984.8629073734</v>
      </c>
      <c r="S22" s="84">
        <f>SUM($C$15:S15)</f>
        <v>468525.78448005766</v>
      </c>
      <c r="T22" s="84">
        <f>SUM($C$15:T15)</f>
        <v>519305.22909205902</v>
      </c>
      <c r="U22" s="84">
        <f>SUM($C$15:U15)</f>
        <v>571354.15981936036</v>
      </c>
      <c r="V22" s="84">
        <f>SUM($C$15:V15)</f>
        <v>624704.31381484424</v>
      </c>
      <c r="W22" s="84">
        <f>SUM($C$15:W15)</f>
        <v>679388.22166021529</v>
      </c>
    </row>
    <row r="23" spans="1:23" ht="15.6" x14ac:dyDescent="0.3">
      <c r="A23" s="81" t="s">
        <v>46</v>
      </c>
      <c r="B23" s="82"/>
      <c r="C23" s="83">
        <v>0</v>
      </c>
      <c r="D23" s="84">
        <f t="shared" ref="D23:W23" si="5">IF(C22*D22&lt;0,D2-D22/(ABS(C22)+D22),0)</f>
        <v>0</v>
      </c>
      <c r="E23" s="84">
        <f t="shared" si="5"/>
        <v>0</v>
      </c>
      <c r="F23" s="84">
        <f t="shared" si="5"/>
        <v>0</v>
      </c>
      <c r="G23" s="84">
        <f t="shared" si="5"/>
        <v>0</v>
      </c>
      <c r="H23" s="84">
        <f t="shared" si="5"/>
        <v>0</v>
      </c>
      <c r="I23" s="84">
        <f t="shared" si="5"/>
        <v>5.6640715965094444</v>
      </c>
      <c r="J23" s="84">
        <f t="shared" si="5"/>
        <v>0</v>
      </c>
      <c r="K23" s="84">
        <f t="shared" si="5"/>
        <v>0</v>
      </c>
      <c r="L23" s="84">
        <f t="shared" si="5"/>
        <v>0</v>
      </c>
      <c r="M23" s="84">
        <f t="shared" si="5"/>
        <v>0</v>
      </c>
      <c r="N23" s="84">
        <f t="shared" si="5"/>
        <v>0</v>
      </c>
      <c r="O23" s="84">
        <f t="shared" si="5"/>
        <v>0</v>
      </c>
      <c r="P23" s="84">
        <f t="shared" si="5"/>
        <v>0</v>
      </c>
      <c r="Q23" s="84">
        <f t="shared" si="5"/>
        <v>0</v>
      </c>
      <c r="R23" s="84">
        <f t="shared" si="5"/>
        <v>0</v>
      </c>
      <c r="S23" s="84">
        <f t="shared" si="5"/>
        <v>0</v>
      </c>
      <c r="T23" s="84">
        <f t="shared" si="5"/>
        <v>0</v>
      </c>
      <c r="U23" s="84">
        <f t="shared" si="5"/>
        <v>0</v>
      </c>
      <c r="V23" s="84">
        <f t="shared" si="5"/>
        <v>0</v>
      </c>
      <c r="W23" s="84">
        <f t="shared" si="5"/>
        <v>0</v>
      </c>
    </row>
    <row r="24" spans="1:23" ht="15.6" x14ac:dyDescent="0.3">
      <c r="A24" s="87" t="s">
        <v>11</v>
      </c>
      <c r="B24" s="88" t="s">
        <v>56</v>
      </c>
      <c r="C24" s="89">
        <f>IF(MAX(C23:W23)&gt;0,MAX(C23:W23),"No return")</f>
        <v>5.6640715965094444</v>
      </c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  <c r="T24" s="84"/>
      <c r="U24" s="84"/>
      <c r="V24" s="84"/>
      <c r="W24" s="84"/>
    </row>
    <row r="25" spans="1:23" ht="15.6" x14ac:dyDescent="0.3">
      <c r="A25" s="87" t="s">
        <v>9</v>
      </c>
      <c r="B25" s="88" t="s">
        <v>8</v>
      </c>
      <c r="C25" s="89">
        <f>(C18/(C5-C7))*100</f>
        <v>63.966254946694001</v>
      </c>
      <c r="D25" s="84"/>
      <c r="E25" s="84"/>
      <c r="F25" s="84"/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4"/>
      <c r="S25" s="84"/>
      <c r="T25" s="84"/>
      <c r="U25" s="84"/>
      <c r="V25" s="84"/>
      <c r="W25" s="84"/>
    </row>
  </sheetData>
  <mergeCells count="2">
    <mergeCell ref="A1:B1"/>
    <mergeCell ref="A2:B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62F91-F974-4D68-844C-EE933FC0F249}">
  <sheetPr codeName="Sheet2"/>
  <dimension ref="A1:G25"/>
  <sheetViews>
    <sheetView tabSelected="1" zoomScale="85" zoomScaleNormal="85" workbookViewId="0">
      <selection activeCell="B14" sqref="B14"/>
    </sheetView>
  </sheetViews>
  <sheetFormatPr defaultRowHeight="14.4" x14ac:dyDescent="0.3"/>
  <cols>
    <col min="2" max="2" width="35.109375" bestFit="1" customWidth="1"/>
    <col min="3" max="7" width="10.6640625" bestFit="1" customWidth="1"/>
  </cols>
  <sheetData>
    <row r="1" spans="1:7" x14ac:dyDescent="0.3">
      <c r="A1" s="2" t="s">
        <v>53</v>
      </c>
      <c r="B1" s="1" t="s">
        <v>49</v>
      </c>
      <c r="C1" s="1" t="s">
        <v>50</v>
      </c>
    </row>
    <row r="4" spans="1:7" ht="15.6" x14ac:dyDescent="0.3">
      <c r="B4" s="55" t="s">
        <v>0</v>
      </c>
      <c r="C4" s="57">
        <v>-0.5</v>
      </c>
      <c r="D4" s="57">
        <v>-0.15</v>
      </c>
      <c r="E4" s="57">
        <v>0</v>
      </c>
      <c r="F4" s="57">
        <v>0.15</v>
      </c>
      <c r="G4" s="58">
        <v>0.5</v>
      </c>
    </row>
    <row r="5" spans="1:7" x14ac:dyDescent="0.3">
      <c r="B5" s="54" t="s">
        <v>13</v>
      </c>
      <c r="C5" s="59">
        <v>246716.14788172019</v>
      </c>
      <c r="D5" s="59">
        <v>172522.87698242484</v>
      </c>
      <c r="E5" s="59">
        <v>140725.76088272681</v>
      </c>
      <c r="F5" s="59">
        <v>108928.64478302882</v>
      </c>
      <c r="G5" s="60">
        <v>34735.373883733482</v>
      </c>
    </row>
    <row r="6" spans="1:7" x14ac:dyDescent="0.3">
      <c r="B6" s="54" t="s">
        <v>51</v>
      </c>
      <c r="C6" s="59">
        <v>-42506.572050627714</v>
      </c>
      <c r="D6" s="59">
        <v>86464.306132315352</v>
      </c>
      <c r="E6" s="59">
        <v>140725.76088272681</v>
      </c>
      <c r="F6" s="59">
        <v>194987.21563313843</v>
      </c>
      <c r="G6" s="60">
        <v>321597.27671743208</v>
      </c>
    </row>
    <row r="7" spans="1:7" x14ac:dyDescent="0.3">
      <c r="B7" s="54" t="s">
        <v>52</v>
      </c>
      <c r="C7" s="59">
        <v>108302.25588623174</v>
      </c>
      <c r="D7" s="59">
        <v>130546.06476213841</v>
      </c>
      <c r="E7" s="59">
        <v>140725.76088272681</v>
      </c>
      <c r="F7" s="59">
        <v>151319.38460372863</v>
      </c>
      <c r="G7" s="60">
        <v>177756.6588062614</v>
      </c>
    </row>
    <row r="8" spans="1:7" x14ac:dyDescent="0.3">
      <c r="B8" s="56" t="s">
        <v>54</v>
      </c>
      <c r="C8" s="61">
        <v>136870.3279884315</v>
      </c>
      <c r="D8" s="61">
        <v>139569.1310144382</v>
      </c>
      <c r="E8" s="61">
        <v>140725.76088272681</v>
      </c>
      <c r="F8" s="61">
        <v>141882.39075101539</v>
      </c>
      <c r="G8" s="62">
        <v>144581.1937770221</v>
      </c>
    </row>
    <row r="25" spans="2:2" x14ac:dyDescent="0.3">
      <c r="B25" s="6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isplayUserform">
                <anchor moveWithCells="1" sizeWithCells="1">
                  <from>
                    <xdr:col>10</xdr:col>
                    <xdr:colOff>251460</xdr:colOff>
                    <xdr:row>3</xdr:row>
                    <xdr:rowOff>83820</xdr:rowOff>
                  </from>
                  <to>
                    <xdr:col>12</xdr:col>
                    <xdr:colOff>556260</xdr:colOff>
                    <xdr:row>6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Economy</vt:lpstr>
      <vt:lpstr>Sensitivity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Damian</dc:creator>
  <cp:lastModifiedBy>Damian Pach</cp:lastModifiedBy>
  <dcterms:created xsi:type="dcterms:W3CDTF">2015-06-05T18:17:20Z</dcterms:created>
  <dcterms:modified xsi:type="dcterms:W3CDTF">2021-05-11T16:03:13Z</dcterms:modified>
</cp:coreProperties>
</file>